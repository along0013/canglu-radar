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结果_数值源" sheetId="1" state="visible" r:id="rId1"/>
    <sheet xmlns:r="http://schemas.openxmlformats.org/officeDocument/2006/relationships" name="最新周摘要" sheetId="2" state="visible" r:id="rId2"/>
    <sheet xmlns:r="http://schemas.openxmlformats.org/officeDocument/2006/relationships" name="原始周度宽表" sheetId="3" state="visible" r:id="rId3"/>
    <sheet xmlns:r="http://schemas.openxmlformats.org/officeDocument/2006/relationships" name="质量等级来源长表" sheetId="4" state="visible" r:id="rId4"/>
    <sheet xmlns:r="http://schemas.openxmlformats.org/officeDocument/2006/relationships" name="Excel公式审计示例" sheetId="5" state="visible" r:id="rId5"/>
    <sheet xmlns:r="http://schemas.openxmlformats.org/officeDocument/2006/relationships" name="公式说明" sheetId="6" state="visible" r:id="rId6"/>
    <sheet xmlns:r="http://schemas.openxmlformats.org/officeDocument/2006/relationships" name="公式审计_可运行样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7" customWidth="1" min="15" max="15"/>
    <col width="29" customWidth="1" min="16" max="16"/>
    <col width="15" customWidth="1" min="17" max="17"/>
    <col width="42" customWidth="1" min="18" max="18"/>
  </cols>
  <sheetData>
    <row r="1">
      <c r="A1" s="2" t="inlineStr">
        <is>
          <t>date</t>
        </is>
      </c>
      <c r="B1" s="2" t="inlineStr">
        <is>
          <t>route_name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quality_level</t>
        </is>
      </c>
      <c r="F1" s="2" t="inlineStr">
        <is>
          <t>p25</t>
        </is>
      </c>
      <c r="G1" s="2" t="inlineStr">
        <is>
          <t>p50</t>
        </is>
      </c>
      <c r="H1" s="2" t="inlineStr">
        <is>
          <t>p75</t>
        </is>
      </c>
      <c r="I1" s="2" t="inlineStr">
        <is>
          <t>p85</t>
        </is>
      </c>
      <c r="J1" s="2" t="inlineStr">
        <is>
          <t>p90</t>
        </is>
      </c>
      <c r="K1" s="2" t="inlineStr">
        <is>
          <t>p95</t>
        </is>
      </c>
      <c r="L1" s="2" t="inlineStr">
        <is>
          <t>p99</t>
        </is>
      </c>
      <c r="M1" s="2" t="inlineStr">
        <is>
          <t>wow_pct</t>
        </is>
      </c>
      <c r="N1" s="2" t="inlineStr">
        <is>
          <t>z_score</t>
        </is>
      </c>
      <c r="O1" s="2" t="inlineStr">
        <is>
          <t>up_streak_weeks</t>
        </is>
      </c>
      <c r="P1" s="2" t="inlineStr">
        <is>
          <t>warning_tags</t>
        </is>
      </c>
      <c r="Q1" s="2" t="inlineStr">
        <is>
          <t>warning_level</t>
        </is>
      </c>
      <c r="R1" s="2" t="inlineStr">
        <is>
          <t>source_note</t>
        </is>
      </c>
    </row>
    <row r="2">
      <c r="A2" t="inlineStr">
        <is>
          <t>2025-11-28</t>
        </is>
      </c>
      <c r="B2" t="inlineStr">
        <is>
          <t>欧洲航线</t>
        </is>
      </c>
      <c r="C2" t="n">
        <v>1404</v>
      </c>
      <c r="D2" t="inlineStr">
        <is>
          <t>USD/TEU</t>
        </is>
      </c>
      <c r="E2" t="inlineStr">
        <is>
          <t>B_public_excerpt</t>
        </is>
      </c>
      <c r="F2" t="n">
        <v>1472.25</v>
      </c>
      <c r="G2" t="n">
        <v>1550.38</v>
      </c>
      <c r="H2" t="n">
        <v>1618.56</v>
      </c>
      <c r="I2" t="n">
        <v>1648.44</v>
      </c>
      <c r="J2" t="n">
        <v>1678.12</v>
      </c>
      <c r="K2" t="n">
        <v>1784.5</v>
      </c>
      <c r="L2" t="n">
        <v>1882.75</v>
      </c>
      <c r="N2" t="n">
        <v>-1.22</v>
      </c>
      <c r="O2" t="n">
        <v>0</v>
      </c>
      <c r="P2" t="inlineStr">
        <is>
          <t>无</t>
        </is>
      </c>
      <c r="Q2" t="inlineStr">
        <is>
          <t>正常</t>
        </is>
      </c>
      <c r="R2" t="inlineStr">
        <is>
          <t>来自现有SCFI真实/公开线索与演示补全长表；C_demo_interpolation不作真实事实声明</t>
        </is>
      </c>
    </row>
    <row r="3">
      <c r="A3" t="inlineStr">
        <is>
          <t>2025-12-05</t>
        </is>
      </c>
      <c r="B3" t="inlineStr">
        <is>
          <t>欧洲航线</t>
        </is>
      </c>
      <c r="C3" t="n">
        <v>1400</v>
      </c>
      <c r="D3" t="inlineStr">
        <is>
          <t>USD/TEU</t>
        </is>
      </c>
      <c r="E3" t="inlineStr">
        <is>
          <t>B_public_excerpt</t>
        </is>
      </c>
      <c r="F3" t="n">
        <v>1472.25</v>
      </c>
      <c r="G3" t="n">
        <v>1550.38</v>
      </c>
      <c r="H3" t="n">
        <v>1618.56</v>
      </c>
      <c r="I3" t="n">
        <v>1648.44</v>
      </c>
      <c r="J3" t="n">
        <v>1678.12</v>
      </c>
      <c r="K3" t="n">
        <v>1784.5</v>
      </c>
      <c r="L3" t="n">
        <v>1882.75</v>
      </c>
      <c r="M3" t="n">
        <v>-0.28</v>
      </c>
      <c r="N3" t="n">
        <v>-1.26</v>
      </c>
      <c r="O3" t="n">
        <v>0</v>
      </c>
      <c r="P3" t="inlineStr">
        <is>
          <t>无</t>
        </is>
      </c>
      <c r="Q3" t="inlineStr">
        <is>
          <t>正常</t>
        </is>
      </c>
      <c r="R3" t="inlineStr">
        <is>
          <t>来自现有SCFI真实/公开线索与演示补全长表；C_demo_interpolation不作真实事实声明</t>
        </is>
      </c>
    </row>
    <row r="4">
      <c r="A4" t="inlineStr">
        <is>
          <t>2025-12-12</t>
        </is>
      </c>
      <c r="B4" t="inlineStr">
        <is>
          <t>欧洲航线</t>
        </is>
      </c>
      <c r="C4" t="n">
        <v>1466.5</v>
      </c>
      <c r="D4" t="inlineStr">
        <is>
          <t>USD/TEU</t>
        </is>
      </c>
      <c r="E4" t="inlineStr">
        <is>
          <t>C_demo_interpolation</t>
        </is>
      </c>
      <c r="F4" t="n">
        <v>1472.25</v>
      </c>
      <c r="G4" t="n">
        <v>1550.38</v>
      </c>
      <c r="H4" t="n">
        <v>1618.56</v>
      </c>
      <c r="I4" t="n">
        <v>1648.44</v>
      </c>
      <c r="J4" t="n">
        <v>1678.12</v>
      </c>
      <c r="K4" t="n">
        <v>1784.5</v>
      </c>
      <c r="L4" t="n">
        <v>1882.75</v>
      </c>
      <c r="M4" t="n">
        <v>4.75</v>
      </c>
      <c r="N4" t="n">
        <v>-0.73</v>
      </c>
      <c r="O4" t="n">
        <v>1</v>
      </c>
      <c r="P4" t="inlineStr">
        <is>
          <t>无</t>
        </is>
      </c>
      <c r="Q4" t="inlineStr">
        <is>
          <t>正常</t>
        </is>
      </c>
      <c r="R4" t="inlineStr">
        <is>
          <t>来自现有SCFI真实/公开线索与演示补全长表；C_demo_interpolation不作真实事实声明</t>
        </is>
      </c>
    </row>
    <row r="5">
      <c r="A5" t="inlineStr">
        <is>
          <t>2025-12-19</t>
        </is>
      </c>
      <c r="B5" t="inlineStr">
        <is>
          <t>欧洲航线</t>
        </is>
      </c>
      <c r="C5" t="n">
        <v>1533</v>
      </c>
      <c r="D5" t="inlineStr">
        <is>
          <t>USD/TEU</t>
        </is>
      </c>
      <c r="E5" t="inlineStr">
        <is>
          <t>B_public_excerpt</t>
        </is>
      </c>
      <c r="F5" t="n">
        <v>1472.25</v>
      </c>
      <c r="G5" t="n">
        <v>1550.38</v>
      </c>
      <c r="H5" t="n">
        <v>1618.56</v>
      </c>
      <c r="I5" t="n">
        <v>1648.44</v>
      </c>
      <c r="J5" t="n">
        <v>1678.12</v>
      </c>
      <c r="K5" t="n">
        <v>1784.5</v>
      </c>
      <c r="L5" t="n">
        <v>1882.75</v>
      </c>
      <c r="M5" t="n">
        <v>4.53</v>
      </c>
      <c r="N5" t="n">
        <v>-0.2</v>
      </c>
      <c r="O5" t="n">
        <v>2</v>
      </c>
      <c r="P5" t="inlineStr">
        <is>
          <t>无</t>
        </is>
      </c>
      <c r="Q5" t="inlineStr">
        <is>
          <t>正常</t>
        </is>
      </c>
      <c r="R5" t="inlineStr">
        <is>
          <t>来自现有SCFI真实/公开线索与演示补全长表；C_demo_interpolation不作真实事实声明</t>
        </is>
      </c>
    </row>
    <row r="6">
      <c r="A6" t="inlineStr">
        <is>
          <t>2025-12-26</t>
        </is>
      </c>
      <c r="B6" t="inlineStr">
        <is>
          <t>欧洲航线</t>
        </is>
      </c>
      <c r="C6" t="n">
        <v>1690</v>
      </c>
      <c r="D6" t="inlineStr">
        <is>
          <t>USD/TEU</t>
        </is>
      </c>
      <c r="E6" t="inlineStr">
        <is>
          <t>B_public_excerpt</t>
        </is>
      </c>
      <c r="F6" t="n">
        <v>1472.25</v>
      </c>
      <c r="G6" t="n">
        <v>1550.38</v>
      </c>
      <c r="H6" t="n">
        <v>1618.56</v>
      </c>
      <c r="I6" t="n">
        <v>1648.44</v>
      </c>
      <c r="J6" t="n">
        <v>1678.12</v>
      </c>
      <c r="K6" t="n">
        <v>1784.5</v>
      </c>
      <c r="L6" t="n">
        <v>1882.75</v>
      </c>
      <c r="M6" t="n">
        <v>10.24</v>
      </c>
      <c r="N6" t="n">
        <v>1.05</v>
      </c>
      <c r="O6" t="n">
        <v>3</v>
      </c>
      <c r="P6" t="inlineStr">
        <is>
          <t>P85关注;周涨幅≥10%;连续上涨≥3周</t>
        </is>
      </c>
      <c r="Q6" t="inlineStr">
        <is>
          <t>黄色关注</t>
        </is>
      </c>
      <c r="R6" t="inlineStr">
        <is>
          <t>来自现有SCFI真实/公开线索与演示补全长表；C_demo_interpolation不作真实事实声明</t>
        </is>
      </c>
    </row>
    <row r="7">
      <c r="A7" t="inlineStr">
        <is>
          <t>2026-01-02</t>
        </is>
      </c>
      <c r="B7" t="inlineStr">
        <is>
          <t>欧洲航线</t>
        </is>
      </c>
      <c r="C7" t="n">
        <v>1666.25</v>
      </c>
      <c r="D7" t="inlineStr">
        <is>
          <t>USD/TEU</t>
        </is>
      </c>
      <c r="E7" t="inlineStr">
        <is>
          <t>C_demo_interpolation</t>
        </is>
      </c>
      <c r="F7" t="n">
        <v>1472.25</v>
      </c>
      <c r="G7" t="n">
        <v>1550.38</v>
      </c>
      <c r="H7" t="n">
        <v>1618.56</v>
      </c>
      <c r="I7" t="n">
        <v>1648.44</v>
      </c>
      <c r="J7" t="n">
        <v>1678.12</v>
      </c>
      <c r="K7" t="n">
        <v>1784.5</v>
      </c>
      <c r="L7" t="n">
        <v>1882.75</v>
      </c>
      <c r="M7" t="n">
        <v>-1.41</v>
      </c>
      <c r="N7" t="n">
        <v>0.86</v>
      </c>
      <c r="O7" t="n">
        <v>0</v>
      </c>
      <c r="P7" t="inlineStr">
        <is>
          <t>P85关注</t>
        </is>
      </c>
      <c r="Q7" t="inlineStr">
        <is>
          <t>黄色关注</t>
        </is>
      </c>
      <c r="R7" t="inlineStr">
        <is>
          <t>来自现有SCFI真实/公开线索与演示补全长表；C_demo_interpolation不作真实事实声明</t>
        </is>
      </c>
    </row>
    <row r="8">
      <c r="A8" t="inlineStr">
        <is>
          <t>2026-01-09</t>
        </is>
      </c>
      <c r="B8" t="inlineStr">
        <is>
          <t>欧洲航线</t>
        </is>
      </c>
      <c r="C8" t="n">
        <v>1642.5</v>
      </c>
      <c r="D8" t="inlineStr">
        <is>
          <t>USD/TEU</t>
        </is>
      </c>
      <c r="E8" t="inlineStr">
        <is>
          <t>C_demo_interpolation</t>
        </is>
      </c>
      <c r="F8" t="n">
        <v>1472.25</v>
      </c>
      <c r="G8" t="n">
        <v>1550.38</v>
      </c>
      <c r="H8" t="n">
        <v>1618.56</v>
      </c>
      <c r="I8" t="n">
        <v>1648.44</v>
      </c>
      <c r="J8" t="n">
        <v>1678.12</v>
      </c>
      <c r="K8" t="n">
        <v>1784.5</v>
      </c>
      <c r="L8" t="n">
        <v>1882.75</v>
      </c>
      <c r="M8" t="n">
        <v>-1.43</v>
      </c>
      <c r="N8" t="n">
        <v>0.67</v>
      </c>
      <c r="O8" t="n">
        <v>0</v>
      </c>
      <c r="P8" t="inlineStr">
        <is>
          <t>无</t>
        </is>
      </c>
      <c r="Q8" t="inlineStr">
        <is>
          <t>正常</t>
        </is>
      </c>
      <c r="R8" t="inlineStr">
        <is>
          <t>来自现有SCFI真实/公开线索与演示补全长表；C_demo_interpolation不作真实事实声明</t>
        </is>
      </c>
    </row>
    <row r="9">
      <c r="A9" t="inlineStr">
        <is>
          <t>2026-01-16</t>
        </is>
      </c>
      <c r="B9" t="inlineStr">
        <is>
          <t>欧洲航线</t>
        </is>
      </c>
      <c r="C9" t="n">
        <v>1618.75</v>
      </c>
      <c r="D9" t="inlineStr">
        <is>
          <t>USD/TEU</t>
        </is>
      </c>
      <c r="E9" t="inlineStr">
        <is>
          <t>C_demo_interpolation</t>
        </is>
      </c>
      <c r="F9" t="n">
        <v>1472.25</v>
      </c>
      <c r="G9" t="n">
        <v>1550.38</v>
      </c>
      <c r="H9" t="n">
        <v>1618.56</v>
      </c>
      <c r="I9" t="n">
        <v>1648.44</v>
      </c>
      <c r="J9" t="n">
        <v>1678.12</v>
      </c>
      <c r="K9" t="n">
        <v>1784.5</v>
      </c>
      <c r="L9" t="n">
        <v>1882.75</v>
      </c>
      <c r="M9" t="n">
        <v>-1.45</v>
      </c>
      <c r="N9" t="n">
        <v>0.48</v>
      </c>
      <c r="O9" t="n">
        <v>0</v>
      </c>
      <c r="P9" t="inlineStr">
        <is>
          <t>无</t>
        </is>
      </c>
      <c r="Q9" t="inlineStr">
        <is>
          <t>正常</t>
        </is>
      </c>
      <c r="R9" t="inlineStr">
        <is>
          <t>来自现有SCFI真实/公开线索与演示补全长表；C_demo_interpolation不作真实事实声明</t>
        </is>
      </c>
    </row>
    <row r="10">
      <c r="A10" t="inlineStr">
        <is>
          <t>2026-01-23</t>
        </is>
      </c>
      <c r="B10" t="inlineStr">
        <is>
          <t>欧洲航线</t>
        </is>
      </c>
      <c r="C10" t="n">
        <v>1595</v>
      </c>
      <c r="D10" t="inlineStr">
        <is>
          <t>USD/TEU</t>
        </is>
      </c>
      <c r="E10" t="inlineStr">
        <is>
          <t>B_public_excerpt</t>
        </is>
      </c>
      <c r="F10" t="n">
        <v>1472.25</v>
      </c>
      <c r="G10" t="n">
        <v>1550.38</v>
      </c>
      <c r="H10" t="n">
        <v>1618.56</v>
      </c>
      <c r="I10" t="n">
        <v>1648.44</v>
      </c>
      <c r="J10" t="n">
        <v>1678.12</v>
      </c>
      <c r="K10" t="n">
        <v>1784.5</v>
      </c>
      <c r="L10" t="n">
        <v>1882.75</v>
      </c>
      <c r="M10" t="n">
        <v>-1.47</v>
      </c>
      <c r="N10" t="n">
        <v>0.29</v>
      </c>
      <c r="O10" t="n">
        <v>0</v>
      </c>
      <c r="P10" t="inlineStr">
        <is>
          <t>无</t>
        </is>
      </c>
      <c r="Q10" t="inlineStr">
        <is>
          <t>正常</t>
        </is>
      </c>
      <c r="R10" t="inlineStr">
        <is>
          <t>来自现有SCFI真实/公开线索与演示补全长表；C_demo_interpolation不作真实事实声明</t>
        </is>
      </c>
    </row>
    <row r="11">
      <c r="A11" t="inlineStr">
        <is>
          <t>2026-01-30</t>
        </is>
      </c>
      <c r="B11" t="inlineStr">
        <is>
          <t>欧洲航线</t>
        </is>
      </c>
      <c r="C11" t="n">
        <v>1418</v>
      </c>
      <c r="D11" t="inlineStr">
        <is>
          <t>USD/TEU</t>
        </is>
      </c>
      <c r="E11" t="inlineStr">
        <is>
          <t>B_public_excerpt</t>
        </is>
      </c>
      <c r="F11" t="n">
        <v>1472.25</v>
      </c>
      <c r="G11" t="n">
        <v>1550.38</v>
      </c>
      <c r="H11" t="n">
        <v>1618.56</v>
      </c>
      <c r="I11" t="n">
        <v>1648.44</v>
      </c>
      <c r="J11" t="n">
        <v>1678.12</v>
      </c>
      <c r="K11" t="n">
        <v>1784.5</v>
      </c>
      <c r="L11" t="n">
        <v>1882.75</v>
      </c>
      <c r="M11" t="n">
        <v>-11.1</v>
      </c>
      <c r="N11" t="n">
        <v>-1.11</v>
      </c>
      <c r="O11" t="n">
        <v>0</v>
      </c>
      <c r="P11" t="inlineStr">
        <is>
          <t>无</t>
        </is>
      </c>
      <c r="Q11" t="inlineStr">
        <is>
          <t>正常</t>
        </is>
      </c>
      <c r="R11" t="inlineStr">
        <is>
          <t>来自现有SCFI真实/公开线索与演示补全长表；C_demo_interpolation不作真实事实声明</t>
        </is>
      </c>
    </row>
    <row r="12">
      <c r="A12" t="inlineStr">
        <is>
          <t>2026-02-06</t>
        </is>
      </c>
      <c r="B12" t="inlineStr">
        <is>
          <t>欧洲航线</t>
        </is>
      </c>
      <c r="C12" t="n">
        <v>1403</v>
      </c>
      <c r="D12" t="inlineStr">
        <is>
          <t>USD/TEU</t>
        </is>
      </c>
      <c r="E12" t="inlineStr">
        <is>
          <t>B_public_excerpt</t>
        </is>
      </c>
      <c r="F12" t="n">
        <v>1472.25</v>
      </c>
      <c r="G12" t="n">
        <v>1550.38</v>
      </c>
      <c r="H12" t="n">
        <v>1618.56</v>
      </c>
      <c r="I12" t="n">
        <v>1648.44</v>
      </c>
      <c r="J12" t="n">
        <v>1678.12</v>
      </c>
      <c r="K12" t="n">
        <v>1784.5</v>
      </c>
      <c r="L12" t="n">
        <v>1882.75</v>
      </c>
      <c r="M12" t="n">
        <v>-1.06</v>
      </c>
      <c r="N12" t="n">
        <v>-1.23</v>
      </c>
      <c r="O12" t="n">
        <v>0</v>
      </c>
      <c r="P12" t="inlineStr">
        <is>
          <t>无</t>
        </is>
      </c>
      <c r="Q12" t="inlineStr">
        <is>
          <t>正常</t>
        </is>
      </c>
      <c r="R12" t="inlineStr">
        <is>
          <t>来自现有SCFI真实/公开线索与演示补全长表；C_demo_interpolation不作真实事实声明</t>
        </is>
      </c>
    </row>
    <row r="13">
      <c r="A13" t="inlineStr">
        <is>
          <t>2026-02-13</t>
        </is>
      </c>
      <c r="B13" t="inlineStr">
        <is>
          <t>欧洲航线</t>
        </is>
      </c>
      <c r="C13" t="n">
        <v>1361</v>
      </c>
      <c r="D13" t="inlineStr">
        <is>
          <t>USD/TEU</t>
        </is>
      </c>
      <c r="E13" t="inlineStr">
        <is>
          <t>B_public_excerpt</t>
        </is>
      </c>
      <c r="F13" t="n">
        <v>1472.25</v>
      </c>
      <c r="G13" t="n">
        <v>1550.38</v>
      </c>
      <c r="H13" t="n">
        <v>1618.56</v>
      </c>
      <c r="I13" t="n">
        <v>1648.44</v>
      </c>
      <c r="J13" t="n">
        <v>1678.12</v>
      </c>
      <c r="K13" t="n">
        <v>1784.5</v>
      </c>
      <c r="L13" t="n">
        <v>1882.75</v>
      </c>
      <c r="M13" t="n">
        <v>-2.99</v>
      </c>
      <c r="N13" t="n">
        <v>-1.57</v>
      </c>
      <c r="O13" t="n">
        <v>0</v>
      </c>
      <c r="P13" t="inlineStr">
        <is>
          <t>无</t>
        </is>
      </c>
      <c r="Q13" t="inlineStr">
        <is>
          <t>正常</t>
        </is>
      </c>
      <c r="R13" t="inlineStr">
        <is>
          <t>来自现有SCFI真实/公开线索与演示补全长表；C_demo_interpolation不作真实事实声明</t>
        </is>
      </c>
    </row>
    <row r="14">
      <c r="A14" t="inlineStr">
        <is>
          <t>2026-02-20</t>
        </is>
      </c>
      <c r="B14" t="inlineStr">
        <is>
          <t>欧洲航线</t>
        </is>
      </c>
      <c r="C14" t="n">
        <v>1425.25</v>
      </c>
      <c r="D14" t="inlineStr">
        <is>
          <t>USD/TEU</t>
        </is>
      </c>
      <c r="E14" t="inlineStr">
        <is>
          <t>C_demo_interpolation</t>
        </is>
      </c>
      <c r="F14" t="n">
        <v>1472.25</v>
      </c>
      <c r="G14" t="n">
        <v>1550.38</v>
      </c>
      <c r="H14" t="n">
        <v>1618.56</v>
      </c>
      <c r="I14" t="n">
        <v>1648.44</v>
      </c>
      <c r="J14" t="n">
        <v>1678.12</v>
      </c>
      <c r="K14" t="n">
        <v>1784.5</v>
      </c>
      <c r="L14" t="n">
        <v>1882.75</v>
      </c>
      <c r="M14" t="n">
        <v>4.72</v>
      </c>
      <c r="N14" t="n">
        <v>-1.06</v>
      </c>
      <c r="O14" t="n">
        <v>1</v>
      </c>
      <c r="P14" t="inlineStr">
        <is>
          <t>无</t>
        </is>
      </c>
      <c r="Q14" t="inlineStr">
        <is>
          <t>正常</t>
        </is>
      </c>
      <c r="R14" t="inlineStr">
        <is>
          <t>来自现有SCFI真实/公开线索与演示补全长表；C_demo_interpolation不作真实事实声明</t>
        </is>
      </c>
    </row>
    <row r="15">
      <c r="A15" t="inlineStr">
        <is>
          <t>2026-02-27</t>
        </is>
      </c>
      <c r="B15" t="inlineStr">
        <is>
          <t>欧洲航线</t>
        </is>
      </c>
      <c r="C15" t="n">
        <v>1489.5</v>
      </c>
      <c r="D15" t="inlineStr">
        <is>
          <t>USD/TEU</t>
        </is>
      </c>
      <c r="E15" t="inlineStr">
        <is>
          <t>C_demo_interpolation</t>
        </is>
      </c>
      <c r="F15" t="n">
        <v>1472.25</v>
      </c>
      <c r="G15" t="n">
        <v>1550.38</v>
      </c>
      <c r="H15" t="n">
        <v>1618.56</v>
      </c>
      <c r="I15" t="n">
        <v>1648.44</v>
      </c>
      <c r="J15" t="n">
        <v>1678.12</v>
      </c>
      <c r="K15" t="n">
        <v>1784.5</v>
      </c>
      <c r="L15" t="n">
        <v>1882.75</v>
      </c>
      <c r="M15" t="n">
        <v>4.51</v>
      </c>
      <c r="N15" t="n">
        <v>-0.55</v>
      </c>
      <c r="O15" t="n">
        <v>2</v>
      </c>
      <c r="P15" t="inlineStr">
        <is>
          <t>无</t>
        </is>
      </c>
      <c r="Q15" t="inlineStr">
        <is>
          <t>正常</t>
        </is>
      </c>
      <c r="R15" t="inlineStr">
        <is>
          <t>来自现有SCFI真实/公开线索与演示补全长表；C_demo_interpolation不作真实事实声明</t>
        </is>
      </c>
    </row>
    <row r="16">
      <c r="A16" t="inlineStr">
        <is>
          <t>2026-03-06</t>
        </is>
      </c>
      <c r="B16" t="inlineStr">
        <is>
          <t>欧洲航线</t>
        </is>
      </c>
      <c r="C16" t="n">
        <v>1553.75</v>
      </c>
      <c r="D16" t="inlineStr">
        <is>
          <t>USD/TEU</t>
        </is>
      </c>
      <c r="E16" t="inlineStr">
        <is>
          <t>C_demo_interpolation</t>
        </is>
      </c>
      <c r="F16" t="n">
        <v>1472.25</v>
      </c>
      <c r="G16" t="n">
        <v>1550.38</v>
      </c>
      <c r="H16" t="n">
        <v>1618.56</v>
      </c>
      <c r="I16" t="n">
        <v>1648.44</v>
      </c>
      <c r="J16" t="n">
        <v>1678.12</v>
      </c>
      <c r="K16" t="n">
        <v>1784.5</v>
      </c>
      <c r="L16" t="n">
        <v>1882.75</v>
      </c>
      <c r="M16" t="n">
        <v>4.31</v>
      </c>
      <c r="N16" t="n">
        <v>-0.03</v>
      </c>
      <c r="O16" t="n">
        <v>3</v>
      </c>
      <c r="P16" t="inlineStr">
        <is>
          <t>连续上涨≥3周</t>
        </is>
      </c>
      <c r="Q16" t="inlineStr">
        <is>
          <t>黄色关注</t>
        </is>
      </c>
      <c r="R16" t="inlineStr">
        <is>
          <t>来自现有SCFI真实/公开线索与演示补全长表；C_demo_interpolation不作真实事实声明</t>
        </is>
      </c>
    </row>
    <row r="17">
      <c r="A17" t="inlineStr">
        <is>
          <t>2026-03-13</t>
        </is>
      </c>
      <c r="B17" t="inlineStr">
        <is>
          <t>欧洲航线</t>
        </is>
      </c>
      <c r="C17" t="n">
        <v>1618</v>
      </c>
      <c r="D17" t="inlineStr">
        <is>
          <t>USD/TEU</t>
        </is>
      </c>
      <c r="E17" t="inlineStr">
        <is>
          <t>B_public_excerpt</t>
        </is>
      </c>
      <c r="F17" t="n">
        <v>1472.25</v>
      </c>
      <c r="G17" t="n">
        <v>1550.38</v>
      </c>
      <c r="H17" t="n">
        <v>1618.56</v>
      </c>
      <c r="I17" t="n">
        <v>1648.44</v>
      </c>
      <c r="J17" t="n">
        <v>1678.12</v>
      </c>
      <c r="K17" t="n">
        <v>1784.5</v>
      </c>
      <c r="L17" t="n">
        <v>1882.75</v>
      </c>
      <c r="M17" t="n">
        <v>4.14</v>
      </c>
      <c r="N17" t="n">
        <v>0.48</v>
      </c>
      <c r="O17" t="n">
        <v>4</v>
      </c>
      <c r="P17" t="inlineStr">
        <is>
          <t>连续上涨≥3周</t>
        </is>
      </c>
      <c r="Q17" t="inlineStr">
        <is>
          <t>黄色关注</t>
        </is>
      </c>
      <c r="R17" t="inlineStr">
        <is>
          <t>来自现有SCFI真实/公开线索与演示补全长表；C_demo_interpolation不作真实事实声明</t>
        </is>
      </c>
    </row>
    <row r="18">
      <c r="A18" t="inlineStr">
        <is>
          <t>2026-03-20</t>
        </is>
      </c>
      <c r="B18" t="inlineStr">
        <is>
          <t>欧洲航线</t>
        </is>
      </c>
      <c r="C18" t="n">
        <v>1636</v>
      </c>
      <c r="D18" t="inlineStr">
        <is>
          <t>USD/TEU</t>
        </is>
      </c>
      <c r="E18" t="inlineStr">
        <is>
          <t>B_public_excerpt</t>
        </is>
      </c>
      <c r="F18" t="n">
        <v>1472.25</v>
      </c>
      <c r="G18" t="n">
        <v>1550.38</v>
      </c>
      <c r="H18" t="n">
        <v>1618.56</v>
      </c>
      <c r="I18" t="n">
        <v>1648.44</v>
      </c>
      <c r="J18" t="n">
        <v>1678.12</v>
      </c>
      <c r="K18" t="n">
        <v>1784.5</v>
      </c>
      <c r="L18" t="n">
        <v>1882.75</v>
      </c>
      <c r="M18" t="n">
        <v>1.11</v>
      </c>
      <c r="N18" t="n">
        <v>0.62</v>
      </c>
      <c r="O18" t="n">
        <v>5</v>
      </c>
      <c r="P18" t="inlineStr">
        <is>
          <t>连续上涨≥5周</t>
        </is>
      </c>
      <c r="Q18" t="inlineStr">
        <is>
          <t>红色预警</t>
        </is>
      </c>
      <c r="R18" t="inlineStr">
        <is>
          <t>来自现有SCFI真实/公开线索与演示补全长表；C_demo_interpolation不作真实事实声明</t>
        </is>
      </c>
    </row>
    <row r="19">
      <c r="A19" t="inlineStr">
        <is>
          <t>2026-03-27</t>
        </is>
      </c>
      <c r="B19" t="inlineStr">
        <is>
          <t>欧洲航线</t>
        </is>
      </c>
      <c r="C19" t="n">
        <v>1606.33</v>
      </c>
      <c r="D19" t="inlineStr">
        <is>
          <t>USD/TEU</t>
        </is>
      </c>
      <c r="E19" t="inlineStr">
        <is>
          <t>C_demo_interpolation</t>
        </is>
      </c>
      <c r="F19" t="n">
        <v>1472.25</v>
      </c>
      <c r="G19" t="n">
        <v>1550.38</v>
      </c>
      <c r="H19" t="n">
        <v>1618.56</v>
      </c>
      <c r="I19" t="n">
        <v>1648.44</v>
      </c>
      <c r="J19" t="n">
        <v>1678.12</v>
      </c>
      <c r="K19" t="n">
        <v>1784.5</v>
      </c>
      <c r="L19" t="n">
        <v>1882.75</v>
      </c>
      <c r="M19" t="n">
        <v>-1.81</v>
      </c>
      <c r="N19" t="n">
        <v>0.38</v>
      </c>
      <c r="O19" t="n">
        <v>0</v>
      </c>
      <c r="P19" t="inlineStr">
        <is>
          <t>无</t>
        </is>
      </c>
      <c r="Q19" t="inlineStr">
        <is>
          <t>正常</t>
        </is>
      </c>
      <c r="R19" t="inlineStr">
        <is>
          <t>来自现有SCFI真实/公开线索与演示补全长表；C_demo_interpolation不作真实事实声明</t>
        </is>
      </c>
    </row>
    <row r="20">
      <c r="A20" t="inlineStr">
        <is>
          <t>2026-04-03</t>
        </is>
      </c>
      <c r="B20" t="inlineStr">
        <is>
          <t>欧洲航线</t>
        </is>
      </c>
      <c r="C20" t="n">
        <v>1576.67</v>
      </c>
      <c r="D20" t="inlineStr">
        <is>
          <t>USD/TEU</t>
        </is>
      </c>
      <c r="E20" t="inlineStr">
        <is>
          <t>C_demo_interpolation</t>
        </is>
      </c>
      <c r="F20" t="n">
        <v>1472.25</v>
      </c>
      <c r="G20" t="n">
        <v>1550.38</v>
      </c>
      <c r="H20" t="n">
        <v>1618.56</v>
      </c>
      <c r="I20" t="n">
        <v>1648.44</v>
      </c>
      <c r="J20" t="n">
        <v>1678.12</v>
      </c>
      <c r="K20" t="n">
        <v>1784.5</v>
      </c>
      <c r="L20" t="n">
        <v>1882.75</v>
      </c>
      <c r="M20" t="n">
        <v>-1.85</v>
      </c>
      <c r="N20" t="n">
        <v>0.15</v>
      </c>
      <c r="O20" t="n">
        <v>0</v>
      </c>
      <c r="P20" t="inlineStr">
        <is>
          <t>无</t>
        </is>
      </c>
      <c r="Q20" t="inlineStr">
        <is>
          <t>正常</t>
        </is>
      </c>
      <c r="R20" t="inlineStr">
        <is>
          <t>来自现有SCFI真实/公开线索与演示补全长表；C_demo_interpolation不作真实事实声明</t>
        </is>
      </c>
    </row>
    <row r="21">
      <c r="A21" t="inlineStr">
        <is>
          <t>2026-04-10</t>
        </is>
      </c>
      <c r="B21" t="inlineStr">
        <is>
          <t>欧洲航线</t>
        </is>
      </c>
      <c r="C21" t="n">
        <v>1547</v>
      </c>
      <c r="D21" t="inlineStr">
        <is>
          <t>USD/TEU</t>
        </is>
      </c>
      <c r="E21" t="inlineStr">
        <is>
          <t>B_public_excerpt</t>
        </is>
      </c>
      <c r="F21" t="n">
        <v>1472.25</v>
      </c>
      <c r="G21" t="n">
        <v>1550.38</v>
      </c>
      <c r="H21" t="n">
        <v>1618.56</v>
      </c>
      <c r="I21" t="n">
        <v>1648.44</v>
      </c>
      <c r="J21" t="n">
        <v>1678.12</v>
      </c>
      <c r="K21" t="n">
        <v>1784.5</v>
      </c>
      <c r="L21" t="n">
        <v>1882.75</v>
      </c>
      <c r="M21" t="n">
        <v>-1.88</v>
      </c>
      <c r="N21" t="n">
        <v>-0.09</v>
      </c>
      <c r="O21" t="n">
        <v>0</v>
      </c>
      <c r="P21" t="inlineStr">
        <is>
          <t>无</t>
        </is>
      </c>
      <c r="Q21" t="inlineStr">
        <is>
          <t>正常</t>
        </is>
      </c>
      <c r="R21" t="inlineStr">
        <is>
          <t>来自现有SCFI真实/公开线索与演示补全长表；C_demo_interpolation不作真实事实声明</t>
        </is>
      </c>
    </row>
    <row r="22">
      <c r="A22" t="inlineStr">
        <is>
          <t>2026-04-17</t>
        </is>
      </c>
      <c r="B22" t="inlineStr">
        <is>
          <t>欧洲航线</t>
        </is>
      </c>
      <c r="C22" t="n">
        <v>1501</v>
      </c>
      <c r="D22" t="inlineStr">
        <is>
          <t>USD/TEU</t>
        </is>
      </c>
      <c r="E22" t="inlineStr">
        <is>
          <t>B_public_excerpt</t>
        </is>
      </c>
      <c r="F22" t="n">
        <v>1472.25</v>
      </c>
      <c r="G22" t="n">
        <v>1550.38</v>
      </c>
      <c r="H22" t="n">
        <v>1618.56</v>
      </c>
      <c r="I22" t="n">
        <v>1648.44</v>
      </c>
      <c r="J22" t="n">
        <v>1678.12</v>
      </c>
      <c r="K22" t="n">
        <v>1784.5</v>
      </c>
      <c r="L22" t="n">
        <v>1882.75</v>
      </c>
      <c r="M22" t="n">
        <v>-2.97</v>
      </c>
      <c r="N22" t="n">
        <v>-0.45</v>
      </c>
      <c r="O22" t="n">
        <v>0</v>
      </c>
      <c r="P22" t="inlineStr">
        <is>
          <t>无</t>
        </is>
      </c>
      <c r="Q22" t="inlineStr">
        <is>
          <t>正常</t>
        </is>
      </c>
      <c r="R22" t="inlineStr">
        <is>
          <t>来自现有SCFI真实/公开线索与演示补全长表；C_demo_interpolation不作真实事实声明</t>
        </is>
      </c>
    </row>
    <row r="23">
      <c r="A23" t="inlineStr">
        <is>
          <t>2026-04-24</t>
        </is>
      </c>
      <c r="B23" t="inlineStr">
        <is>
          <t>欧洲航线</t>
        </is>
      </c>
      <c r="C23" t="n">
        <v>1497</v>
      </c>
      <c r="D23" t="inlineStr">
        <is>
          <t>USD/TEU</t>
        </is>
      </c>
      <c r="E23" t="inlineStr">
        <is>
          <t>B_public_excerpt</t>
        </is>
      </c>
      <c r="F23" t="n">
        <v>1472.25</v>
      </c>
      <c r="G23" t="n">
        <v>1550.38</v>
      </c>
      <c r="H23" t="n">
        <v>1618.56</v>
      </c>
      <c r="I23" t="n">
        <v>1648.44</v>
      </c>
      <c r="J23" t="n">
        <v>1678.12</v>
      </c>
      <c r="K23" t="n">
        <v>1784.5</v>
      </c>
      <c r="L23" t="n">
        <v>1882.75</v>
      </c>
      <c r="M23" t="n">
        <v>-0.27</v>
      </c>
      <c r="N23" t="n">
        <v>-0.49</v>
      </c>
      <c r="O23" t="n">
        <v>0</v>
      </c>
      <c r="P23" t="inlineStr">
        <is>
          <t>无</t>
        </is>
      </c>
      <c r="Q23" t="inlineStr">
        <is>
          <t>正常</t>
        </is>
      </c>
      <c r="R23" t="inlineStr">
        <is>
          <t>来自现有SCFI真实/公开线索与演示补全长表；C_demo_interpolation不作真实事实声明</t>
        </is>
      </c>
    </row>
    <row r="24">
      <c r="A24" t="inlineStr">
        <is>
          <t>2026-05-01</t>
        </is>
      </c>
      <c r="B24" t="inlineStr">
        <is>
          <t>欧洲航线</t>
        </is>
      </c>
      <c r="C24" t="n">
        <v>1546.5</v>
      </c>
      <c r="D24" t="inlineStr">
        <is>
          <t>USD/TEU</t>
        </is>
      </c>
      <c r="E24" t="inlineStr">
        <is>
          <t>C_demo_interpolation</t>
        </is>
      </c>
      <c r="F24" t="n">
        <v>1472.25</v>
      </c>
      <c r="G24" t="n">
        <v>1550.38</v>
      </c>
      <c r="H24" t="n">
        <v>1618.56</v>
      </c>
      <c r="I24" t="n">
        <v>1648.44</v>
      </c>
      <c r="J24" t="n">
        <v>1678.12</v>
      </c>
      <c r="K24" t="n">
        <v>1784.5</v>
      </c>
      <c r="L24" t="n">
        <v>1882.75</v>
      </c>
      <c r="M24" t="n">
        <v>3.31</v>
      </c>
      <c r="N24" t="n">
        <v>-0.09</v>
      </c>
      <c r="O24" t="n">
        <v>1</v>
      </c>
      <c r="P24" t="inlineStr">
        <is>
          <t>无</t>
        </is>
      </c>
      <c r="Q24" t="inlineStr">
        <is>
          <t>正常</t>
        </is>
      </c>
      <c r="R24" t="inlineStr">
        <is>
          <t>来自现有SCFI真实/公开线索与演示补全长表；C_demo_interpolation不作真实事实声明</t>
        </is>
      </c>
    </row>
    <row r="25">
      <c r="A25" t="inlineStr">
        <is>
          <t>2026-05-08</t>
        </is>
      </c>
      <c r="B25" t="inlineStr">
        <is>
          <t>欧洲航线</t>
        </is>
      </c>
      <c r="C25" t="n">
        <v>1596</v>
      </c>
      <c r="D25" t="inlineStr">
        <is>
          <t>USD/TEU</t>
        </is>
      </c>
      <c r="E25" t="inlineStr">
        <is>
          <t>B_public_excerpt</t>
        </is>
      </c>
      <c r="F25" t="n">
        <v>1472.25</v>
      </c>
      <c r="G25" t="n">
        <v>1550.38</v>
      </c>
      <c r="H25" t="n">
        <v>1618.56</v>
      </c>
      <c r="I25" t="n">
        <v>1648.44</v>
      </c>
      <c r="J25" t="n">
        <v>1678.12</v>
      </c>
      <c r="K25" t="n">
        <v>1784.5</v>
      </c>
      <c r="L25" t="n">
        <v>1882.75</v>
      </c>
      <c r="M25" t="n">
        <v>3.2</v>
      </c>
      <c r="N25" t="n">
        <v>0.3</v>
      </c>
      <c r="O25" t="n">
        <v>2</v>
      </c>
      <c r="P25" t="inlineStr">
        <is>
          <t>无</t>
        </is>
      </c>
      <c r="Q25" t="inlineStr">
        <is>
          <t>正常</t>
        </is>
      </c>
      <c r="R25" t="inlineStr">
        <is>
          <t>来自现有SCFI真实/公开线索与演示补全长表；C_demo_interpolation不作真实事实声明</t>
        </is>
      </c>
    </row>
    <row r="26">
      <c r="A26" t="inlineStr">
        <is>
          <t>2026-05-15</t>
        </is>
      </c>
      <c r="B26" t="inlineStr">
        <is>
          <t>欧洲航线</t>
        </is>
      </c>
      <c r="C26" t="n">
        <v>1816</v>
      </c>
      <c r="D26" t="inlineStr">
        <is>
          <t>USD/TEU</t>
        </is>
      </c>
      <c r="E26" t="inlineStr">
        <is>
          <t>A_official</t>
        </is>
      </c>
      <c r="F26" t="n">
        <v>1472.25</v>
      </c>
      <c r="G26" t="n">
        <v>1550.38</v>
      </c>
      <c r="H26" t="n">
        <v>1618.56</v>
      </c>
      <c r="I26" t="n">
        <v>1648.44</v>
      </c>
      <c r="J26" t="n">
        <v>1678.12</v>
      </c>
      <c r="K26" t="n">
        <v>1784.5</v>
      </c>
      <c r="L26" t="n">
        <v>1882.75</v>
      </c>
      <c r="M26" t="n">
        <v>13.78</v>
      </c>
      <c r="N26" t="n">
        <v>2.05</v>
      </c>
      <c r="O26" t="n">
        <v>3</v>
      </c>
      <c r="P26" t="inlineStr">
        <is>
          <t>P95高位;周涨幅≥10%;Z≥2异常;连续上涨≥3周</t>
        </is>
      </c>
      <c r="Q26" t="inlineStr">
        <is>
          <t>红色预警</t>
        </is>
      </c>
      <c r="R26" t="inlineStr">
        <is>
          <t>来自现有SCFI真实/公开线索与演示补全长表；C_demo_interpolation不作真实事实声明</t>
        </is>
      </c>
    </row>
    <row r="27">
      <c r="A27" t="inlineStr">
        <is>
          <t>2026-05-22</t>
        </is>
      </c>
      <c r="B27" t="inlineStr">
        <is>
          <t>欧洲航线</t>
        </is>
      </c>
      <c r="C27" t="n">
        <v>1905</v>
      </c>
      <c r="D27" t="inlineStr">
        <is>
          <t>USD/TEU</t>
        </is>
      </c>
      <c r="E27" t="inlineStr">
        <is>
          <t>A_official</t>
        </is>
      </c>
      <c r="F27" t="n">
        <v>1472.25</v>
      </c>
      <c r="G27" t="n">
        <v>1550.38</v>
      </c>
      <c r="H27" t="n">
        <v>1618.56</v>
      </c>
      <c r="I27" t="n">
        <v>1648.44</v>
      </c>
      <c r="J27" t="n">
        <v>1678.12</v>
      </c>
      <c r="K27" t="n">
        <v>1784.5</v>
      </c>
      <c r="L27" t="n">
        <v>1882.75</v>
      </c>
      <c r="M27" t="n">
        <v>4.9</v>
      </c>
      <c r="N27" t="n">
        <v>2.76</v>
      </c>
      <c r="O27" t="n">
        <v>4</v>
      </c>
      <c r="P27" t="inlineStr">
        <is>
          <t>P95高位;Z≥2异常;连续上涨≥3周</t>
        </is>
      </c>
      <c r="Q27" t="inlineStr">
        <is>
          <t>红色预警</t>
        </is>
      </c>
      <c r="R27" t="inlineStr">
        <is>
          <t>来自现有SCFI真实/公开线索与演示补全长表；C_demo_interpolation不作真实事实声明</t>
        </is>
      </c>
    </row>
    <row r="28">
      <c r="A28" t="inlineStr">
        <is>
          <t>2025-11-28</t>
        </is>
      </c>
      <c r="B28" t="inlineStr">
        <is>
          <t>地中海航线</t>
        </is>
      </c>
      <c r="C28" t="n">
        <v>2232</v>
      </c>
      <c r="D28" t="inlineStr">
        <is>
          <t>USD/TEU</t>
        </is>
      </c>
      <c r="E28" t="inlineStr">
        <is>
          <t>B_public_excerpt</t>
        </is>
      </c>
      <c r="F28" t="n">
        <v>2304.51</v>
      </c>
      <c r="G28" t="n">
        <v>2432.75</v>
      </c>
      <c r="H28" t="n">
        <v>2675.65</v>
      </c>
      <c r="I28" t="n">
        <v>2891.35</v>
      </c>
      <c r="J28" t="n">
        <v>3071.1</v>
      </c>
      <c r="K28" t="n">
        <v>3144.5</v>
      </c>
      <c r="L28" t="n">
        <v>3191.5</v>
      </c>
      <c r="N28" t="n">
        <v>-1.01</v>
      </c>
      <c r="O28" t="n">
        <v>0</v>
      </c>
      <c r="P28" t="inlineStr">
        <is>
          <t>无</t>
        </is>
      </c>
      <c r="Q28" t="inlineStr">
        <is>
          <t>正常</t>
        </is>
      </c>
      <c r="R28" t="inlineStr">
        <is>
          <t>来自现有SCFI真实/公开线索与演示补全长表；C_demo_interpolation不作真实事实声明</t>
        </is>
      </c>
    </row>
    <row r="29">
      <c r="A29" t="inlineStr">
        <is>
          <t>2025-12-05</t>
        </is>
      </c>
      <c r="B29" t="inlineStr">
        <is>
          <t>地中海航线</t>
        </is>
      </c>
      <c r="C29" t="n">
        <v>2300</v>
      </c>
      <c r="D29" t="inlineStr">
        <is>
          <t>USD/TEU</t>
        </is>
      </c>
      <c r="E29" t="inlineStr">
        <is>
          <t>B_public_excerpt</t>
        </is>
      </c>
      <c r="F29" t="n">
        <v>2304.51</v>
      </c>
      <c r="G29" t="n">
        <v>2432.75</v>
      </c>
      <c r="H29" t="n">
        <v>2675.65</v>
      </c>
      <c r="I29" t="n">
        <v>2891.35</v>
      </c>
      <c r="J29" t="n">
        <v>3071.1</v>
      </c>
      <c r="K29" t="n">
        <v>3144.5</v>
      </c>
      <c r="L29" t="n">
        <v>3191.5</v>
      </c>
      <c r="M29" t="n">
        <v>3.05</v>
      </c>
      <c r="N29" t="n">
        <v>-0.78</v>
      </c>
      <c r="O29" t="n">
        <v>1</v>
      </c>
      <c r="P29" t="inlineStr">
        <is>
          <t>无</t>
        </is>
      </c>
      <c r="Q29" t="inlineStr">
        <is>
          <t>正常</t>
        </is>
      </c>
      <c r="R29" t="inlineStr">
        <is>
          <t>来自现有SCFI真实/公开线索与演示补全长表；C_demo_interpolation不作真实事实声明</t>
        </is>
      </c>
    </row>
    <row r="30">
      <c r="A30" t="inlineStr">
        <is>
          <t>2025-12-12</t>
        </is>
      </c>
      <c r="B30" t="inlineStr">
        <is>
          <t>地中海航线</t>
        </is>
      </c>
      <c r="C30" t="n">
        <v>2566.5</v>
      </c>
      <c r="D30" t="inlineStr">
        <is>
          <t>USD/TEU</t>
        </is>
      </c>
      <c r="E30" t="inlineStr">
        <is>
          <t>C_demo_interpolation</t>
        </is>
      </c>
      <c r="F30" t="n">
        <v>2304.51</v>
      </c>
      <c r="G30" t="n">
        <v>2432.75</v>
      </c>
      <c r="H30" t="n">
        <v>2675.65</v>
      </c>
      <c r="I30" t="n">
        <v>2891.35</v>
      </c>
      <c r="J30" t="n">
        <v>3071.1</v>
      </c>
      <c r="K30" t="n">
        <v>3144.5</v>
      </c>
      <c r="L30" t="n">
        <v>3191.5</v>
      </c>
      <c r="M30" t="n">
        <v>11.59</v>
      </c>
      <c r="N30" t="n">
        <v>0.1</v>
      </c>
      <c r="O30" t="n">
        <v>2</v>
      </c>
      <c r="P30" t="inlineStr">
        <is>
          <t>周涨幅≥10%</t>
        </is>
      </c>
      <c r="Q30" t="inlineStr">
        <is>
          <t>黄色关注</t>
        </is>
      </c>
      <c r="R30" t="inlineStr">
        <is>
          <t>来自现有SCFI真实/公开线索与演示补全长表；C_demo_interpolation不作真实事实声明</t>
        </is>
      </c>
    </row>
    <row r="31">
      <c r="A31" t="inlineStr">
        <is>
          <t>2025-12-19</t>
        </is>
      </c>
      <c r="B31" t="inlineStr">
        <is>
          <t>地中海航线</t>
        </is>
      </c>
      <c r="C31" t="n">
        <v>2833</v>
      </c>
      <c r="D31" t="inlineStr">
        <is>
          <t>USD/TEU</t>
        </is>
      </c>
      <c r="E31" t="inlineStr">
        <is>
          <t>B_public_excerpt</t>
        </is>
      </c>
      <c r="F31" t="n">
        <v>2304.51</v>
      </c>
      <c r="G31" t="n">
        <v>2432.75</v>
      </c>
      <c r="H31" t="n">
        <v>2675.65</v>
      </c>
      <c r="I31" t="n">
        <v>2891.35</v>
      </c>
      <c r="J31" t="n">
        <v>3071.1</v>
      </c>
      <c r="K31" t="n">
        <v>3144.5</v>
      </c>
      <c r="L31" t="n">
        <v>3191.5</v>
      </c>
      <c r="M31" t="n">
        <v>10.38</v>
      </c>
      <c r="N31" t="n">
        <v>0.98</v>
      </c>
      <c r="O31" t="n">
        <v>3</v>
      </c>
      <c r="P31" t="inlineStr">
        <is>
          <t>周涨幅≥10%;连续上涨≥3周</t>
        </is>
      </c>
      <c r="Q31" t="inlineStr">
        <is>
          <t>黄色关注</t>
        </is>
      </c>
      <c r="R31" t="inlineStr">
        <is>
          <t>来自现有SCFI真实/公开线索与演示补全长表；C_demo_interpolation不作真实事实声明</t>
        </is>
      </c>
    </row>
    <row r="32">
      <c r="A32" t="inlineStr">
        <is>
          <t>2025-12-26</t>
        </is>
      </c>
      <c r="B32" t="inlineStr">
        <is>
          <t>地中海航线</t>
        </is>
      </c>
      <c r="C32" t="n">
        <v>3143</v>
      </c>
      <c r="D32" t="inlineStr">
        <is>
          <t>USD/TEU</t>
        </is>
      </c>
      <c r="E32" t="inlineStr">
        <is>
          <t>B_public_excerpt</t>
        </is>
      </c>
      <c r="F32" t="n">
        <v>2304.51</v>
      </c>
      <c r="G32" t="n">
        <v>2432.75</v>
      </c>
      <c r="H32" t="n">
        <v>2675.65</v>
      </c>
      <c r="I32" t="n">
        <v>2891.35</v>
      </c>
      <c r="J32" t="n">
        <v>3071.1</v>
      </c>
      <c r="K32" t="n">
        <v>3144.5</v>
      </c>
      <c r="L32" t="n">
        <v>3191.5</v>
      </c>
      <c r="M32" t="n">
        <v>10.94</v>
      </c>
      <c r="N32" t="n">
        <v>2</v>
      </c>
      <c r="O32" t="n">
        <v>4</v>
      </c>
      <c r="P32" t="inlineStr">
        <is>
          <t>P85关注;周涨幅≥10%;Z≥2异常;连续上涨≥3周</t>
        </is>
      </c>
      <c r="Q32" t="inlineStr">
        <is>
          <t>黄色关注</t>
        </is>
      </c>
      <c r="R32" t="inlineStr">
        <is>
          <t>来自现有SCFI真实/公开线索与演示补全长表；C_demo_interpolation不作真实事实声明</t>
        </is>
      </c>
    </row>
    <row r="33">
      <c r="A33" t="inlineStr">
        <is>
          <t>2026-01-02</t>
        </is>
      </c>
      <c r="B33" t="inlineStr">
        <is>
          <t>地中海航线</t>
        </is>
      </c>
      <c r="C33" t="n">
        <v>2999.2</v>
      </c>
      <c r="D33" t="inlineStr">
        <is>
          <t>USD/TEU</t>
        </is>
      </c>
      <c r="E33" t="inlineStr">
        <is>
          <t>C_demo_interpolation</t>
        </is>
      </c>
      <c r="F33" t="n">
        <v>2304.51</v>
      </c>
      <c r="G33" t="n">
        <v>2432.75</v>
      </c>
      <c r="H33" t="n">
        <v>2675.65</v>
      </c>
      <c r="I33" t="n">
        <v>2891.35</v>
      </c>
      <c r="J33" t="n">
        <v>3071.1</v>
      </c>
      <c r="K33" t="n">
        <v>3144.5</v>
      </c>
      <c r="L33" t="n">
        <v>3191.5</v>
      </c>
      <c r="M33" t="n">
        <v>-4.58</v>
      </c>
      <c r="N33" t="n">
        <v>1.53</v>
      </c>
      <c r="O33" t="n">
        <v>0</v>
      </c>
      <c r="P33" t="inlineStr">
        <is>
          <t>P85关注</t>
        </is>
      </c>
      <c r="Q33" t="inlineStr">
        <is>
          <t>黄色关注</t>
        </is>
      </c>
      <c r="R33" t="inlineStr">
        <is>
          <t>来自现有SCFI真实/公开线索与演示补全长表；C_demo_interpolation不作真实事实声明</t>
        </is>
      </c>
    </row>
    <row r="34">
      <c r="A34" t="inlineStr">
        <is>
          <t>2026-01-09</t>
        </is>
      </c>
      <c r="B34" t="inlineStr">
        <is>
          <t>地中海航线</t>
        </is>
      </c>
      <c r="C34" t="n">
        <v>2855.4</v>
      </c>
      <c r="D34" t="inlineStr">
        <is>
          <t>USD/TEU</t>
        </is>
      </c>
      <c r="E34" t="inlineStr">
        <is>
          <t>C_demo_interpolation</t>
        </is>
      </c>
      <c r="F34" t="n">
        <v>2304.51</v>
      </c>
      <c r="G34" t="n">
        <v>2432.75</v>
      </c>
      <c r="H34" t="n">
        <v>2675.65</v>
      </c>
      <c r="I34" t="n">
        <v>2891.35</v>
      </c>
      <c r="J34" t="n">
        <v>3071.1</v>
      </c>
      <c r="K34" t="n">
        <v>3144.5</v>
      </c>
      <c r="L34" t="n">
        <v>3191.5</v>
      </c>
      <c r="M34" t="n">
        <v>-4.79</v>
      </c>
      <c r="N34" t="n">
        <v>1.05</v>
      </c>
      <c r="O34" t="n">
        <v>0</v>
      </c>
      <c r="P34" t="inlineStr">
        <is>
          <t>无</t>
        </is>
      </c>
      <c r="Q34" t="inlineStr">
        <is>
          <t>正常</t>
        </is>
      </c>
      <c r="R34" t="inlineStr">
        <is>
          <t>来自现有SCFI真实/公开线索与演示补全长表；C_demo_interpolation不作真实事实声明</t>
        </is>
      </c>
    </row>
    <row r="35">
      <c r="A35" t="inlineStr">
        <is>
          <t>2026-01-16</t>
        </is>
      </c>
      <c r="B35" t="inlineStr">
        <is>
          <t>地中海航线</t>
        </is>
      </c>
      <c r="C35" t="n">
        <v>2711.6</v>
      </c>
      <c r="D35" t="inlineStr">
        <is>
          <t>USD/TEU</t>
        </is>
      </c>
      <c r="E35" t="inlineStr">
        <is>
          <t>C_demo_interpolation</t>
        </is>
      </c>
      <c r="F35" t="n">
        <v>2304.51</v>
      </c>
      <c r="G35" t="n">
        <v>2432.75</v>
      </c>
      <c r="H35" t="n">
        <v>2675.65</v>
      </c>
      <c r="I35" t="n">
        <v>2891.35</v>
      </c>
      <c r="J35" t="n">
        <v>3071.1</v>
      </c>
      <c r="K35" t="n">
        <v>3144.5</v>
      </c>
      <c r="L35" t="n">
        <v>3191.5</v>
      </c>
      <c r="M35" t="n">
        <v>-5.04</v>
      </c>
      <c r="N35" t="n">
        <v>0.58</v>
      </c>
      <c r="O35" t="n">
        <v>0</v>
      </c>
      <c r="P35" t="inlineStr">
        <is>
          <t>无</t>
        </is>
      </c>
      <c r="Q35" t="inlineStr">
        <is>
          <t>正常</t>
        </is>
      </c>
      <c r="R35" t="inlineStr">
        <is>
          <t>来自现有SCFI真实/公开线索与演示补全长表；C_demo_interpolation不作真实事实声明</t>
        </is>
      </c>
    </row>
    <row r="36">
      <c r="A36" t="inlineStr">
        <is>
          <t>2026-01-23</t>
        </is>
      </c>
      <c r="B36" t="inlineStr">
        <is>
          <t>地中海航线</t>
        </is>
      </c>
      <c r="C36" t="n">
        <v>2567.8</v>
      </c>
      <c r="D36" t="inlineStr">
        <is>
          <t>USD/TEU</t>
        </is>
      </c>
      <c r="E36" t="inlineStr">
        <is>
          <t>C_demo_interpolation</t>
        </is>
      </c>
      <c r="F36" t="n">
        <v>2304.51</v>
      </c>
      <c r="G36" t="n">
        <v>2432.75</v>
      </c>
      <c r="H36" t="n">
        <v>2675.65</v>
      </c>
      <c r="I36" t="n">
        <v>2891.35</v>
      </c>
      <c r="J36" t="n">
        <v>3071.1</v>
      </c>
      <c r="K36" t="n">
        <v>3144.5</v>
      </c>
      <c r="L36" t="n">
        <v>3191.5</v>
      </c>
      <c r="M36" t="n">
        <v>-5.3</v>
      </c>
      <c r="N36" t="n">
        <v>0.1</v>
      </c>
      <c r="O36" t="n">
        <v>0</v>
      </c>
      <c r="P36" t="inlineStr">
        <is>
          <t>无</t>
        </is>
      </c>
      <c r="Q36" t="inlineStr">
        <is>
          <t>正常</t>
        </is>
      </c>
      <c r="R36" t="inlineStr">
        <is>
          <t>来自现有SCFI真实/公开线索与演示补全长表；C_demo_interpolation不作真实事实声明</t>
        </is>
      </c>
    </row>
    <row r="37">
      <c r="A37" t="inlineStr">
        <is>
          <t>2026-01-30</t>
        </is>
      </c>
      <c r="B37" t="inlineStr">
        <is>
          <t>地中海航线</t>
        </is>
      </c>
      <c r="C37" t="n">
        <v>2424</v>
      </c>
      <c r="D37" t="inlineStr">
        <is>
          <t>USD/TEU</t>
        </is>
      </c>
      <c r="E37" t="inlineStr">
        <is>
          <t>B_public_excerpt</t>
        </is>
      </c>
      <c r="F37" t="n">
        <v>2304.51</v>
      </c>
      <c r="G37" t="n">
        <v>2432.75</v>
      </c>
      <c r="H37" t="n">
        <v>2675.65</v>
      </c>
      <c r="I37" t="n">
        <v>2891.35</v>
      </c>
      <c r="J37" t="n">
        <v>3071.1</v>
      </c>
      <c r="K37" t="n">
        <v>3144.5</v>
      </c>
      <c r="L37" t="n">
        <v>3191.5</v>
      </c>
      <c r="M37" t="n">
        <v>-5.6</v>
      </c>
      <c r="N37" t="n">
        <v>-0.37</v>
      </c>
      <c r="O37" t="n">
        <v>0</v>
      </c>
      <c r="P37" t="inlineStr">
        <is>
          <t>无</t>
        </is>
      </c>
      <c r="Q37" t="inlineStr">
        <is>
          <t>正常</t>
        </is>
      </c>
      <c r="R37" t="inlineStr">
        <is>
          <t>来自现有SCFI真实/公开线索与演示补全长表；C_demo_interpolation不作真实事实声明</t>
        </is>
      </c>
    </row>
    <row r="38">
      <c r="A38" t="inlineStr">
        <is>
          <t>2026-02-06</t>
        </is>
      </c>
      <c r="B38" t="inlineStr">
        <is>
          <t>地中海航线</t>
        </is>
      </c>
      <c r="C38" t="n">
        <v>2300.5</v>
      </c>
      <c r="D38" t="inlineStr">
        <is>
          <t>USD/TEU</t>
        </is>
      </c>
      <c r="E38" t="inlineStr">
        <is>
          <t>C_demo_interpolation</t>
        </is>
      </c>
      <c r="F38" t="n">
        <v>2304.51</v>
      </c>
      <c r="G38" t="n">
        <v>2432.75</v>
      </c>
      <c r="H38" t="n">
        <v>2675.65</v>
      </c>
      <c r="I38" t="n">
        <v>2891.35</v>
      </c>
      <c r="J38" t="n">
        <v>3071.1</v>
      </c>
      <c r="K38" t="n">
        <v>3144.5</v>
      </c>
      <c r="L38" t="n">
        <v>3191.5</v>
      </c>
      <c r="M38" t="n">
        <v>-5.09</v>
      </c>
      <c r="N38" t="n">
        <v>-0.78</v>
      </c>
      <c r="O38" t="n">
        <v>0</v>
      </c>
      <c r="P38" t="inlineStr">
        <is>
          <t>无</t>
        </is>
      </c>
      <c r="Q38" t="inlineStr">
        <is>
          <t>正常</t>
        </is>
      </c>
      <c r="R38" t="inlineStr">
        <is>
          <t>来自现有SCFI真实/公开线索与演示补全长表；C_demo_interpolation不作真实事实声明</t>
        </is>
      </c>
    </row>
    <row r="39">
      <c r="A39" t="inlineStr">
        <is>
          <t>2026-02-13</t>
        </is>
      </c>
      <c r="B39" t="inlineStr">
        <is>
          <t>地中海航线</t>
        </is>
      </c>
      <c r="C39" t="n">
        <v>2177</v>
      </c>
      <c r="D39" t="inlineStr">
        <is>
          <t>USD/TEU</t>
        </is>
      </c>
      <c r="E39" t="inlineStr">
        <is>
          <t>B_public_excerpt</t>
        </is>
      </c>
      <c r="F39" t="n">
        <v>2304.51</v>
      </c>
      <c r="G39" t="n">
        <v>2432.75</v>
      </c>
      <c r="H39" t="n">
        <v>2675.65</v>
      </c>
      <c r="I39" t="n">
        <v>2891.35</v>
      </c>
      <c r="J39" t="n">
        <v>3071.1</v>
      </c>
      <c r="K39" t="n">
        <v>3144.5</v>
      </c>
      <c r="L39" t="n">
        <v>3191.5</v>
      </c>
      <c r="M39" t="n">
        <v>-5.37</v>
      </c>
      <c r="N39" t="n">
        <v>-1.19</v>
      </c>
      <c r="O39" t="n">
        <v>0</v>
      </c>
      <c r="P39" t="inlineStr">
        <is>
          <t>无</t>
        </is>
      </c>
      <c r="Q39" t="inlineStr">
        <is>
          <t>正常</t>
        </is>
      </c>
      <c r="R39" t="inlineStr">
        <is>
          <t>来自现有SCFI真实/公开线索与演示补全长表；C_demo_interpolation不作真实事实声明</t>
        </is>
      </c>
    </row>
    <row r="40">
      <c r="A40" t="inlineStr">
        <is>
          <t>2026-02-20</t>
        </is>
      </c>
      <c r="B40" t="inlineStr">
        <is>
          <t>地中海航线</t>
        </is>
      </c>
      <c r="C40" t="n">
        <v>2211.89</v>
      </c>
      <c r="D40" t="inlineStr">
        <is>
          <t>USD/TEU</t>
        </is>
      </c>
      <c r="E40" t="inlineStr">
        <is>
          <t>C_demo_interpolation</t>
        </is>
      </c>
      <c r="F40" t="n">
        <v>2304.51</v>
      </c>
      <c r="G40" t="n">
        <v>2432.75</v>
      </c>
      <c r="H40" t="n">
        <v>2675.65</v>
      </c>
      <c r="I40" t="n">
        <v>2891.35</v>
      </c>
      <c r="J40" t="n">
        <v>3071.1</v>
      </c>
      <c r="K40" t="n">
        <v>3144.5</v>
      </c>
      <c r="L40" t="n">
        <v>3191.5</v>
      </c>
      <c r="M40" t="n">
        <v>1.6</v>
      </c>
      <c r="N40" t="n">
        <v>-1.07</v>
      </c>
      <c r="O40" t="n">
        <v>1</v>
      </c>
      <c r="P40" t="inlineStr">
        <is>
          <t>无</t>
        </is>
      </c>
      <c r="Q40" t="inlineStr">
        <is>
          <t>正常</t>
        </is>
      </c>
      <c r="R40" t="inlineStr">
        <is>
          <t>来自现有SCFI真实/公开线索与演示补全长表；C_demo_interpolation不作真实事实声明</t>
        </is>
      </c>
    </row>
    <row r="41">
      <c r="A41" t="inlineStr">
        <is>
          <t>2026-02-27</t>
        </is>
      </c>
      <c r="B41" t="inlineStr">
        <is>
          <t>地中海航线</t>
        </is>
      </c>
      <c r="C41" t="n">
        <v>2246.78</v>
      </c>
      <c r="D41" t="inlineStr">
        <is>
          <t>USD/TEU</t>
        </is>
      </c>
      <c r="E41" t="inlineStr">
        <is>
          <t>C_demo_interpolation</t>
        </is>
      </c>
      <c r="F41" t="n">
        <v>2304.51</v>
      </c>
      <c r="G41" t="n">
        <v>2432.75</v>
      </c>
      <c r="H41" t="n">
        <v>2675.65</v>
      </c>
      <c r="I41" t="n">
        <v>2891.35</v>
      </c>
      <c r="J41" t="n">
        <v>3071.1</v>
      </c>
      <c r="K41" t="n">
        <v>3144.5</v>
      </c>
      <c r="L41" t="n">
        <v>3191.5</v>
      </c>
      <c r="M41" t="n">
        <v>1.58</v>
      </c>
      <c r="N41" t="n">
        <v>-0.96</v>
      </c>
      <c r="O41" t="n">
        <v>2</v>
      </c>
      <c r="P41" t="inlineStr">
        <is>
          <t>无</t>
        </is>
      </c>
      <c r="Q41" t="inlineStr">
        <is>
          <t>正常</t>
        </is>
      </c>
      <c r="R41" t="inlineStr">
        <is>
          <t>来自现有SCFI真实/公开线索与演示补全长表；C_demo_interpolation不作真实事实声明</t>
        </is>
      </c>
    </row>
    <row r="42">
      <c r="A42" t="inlineStr">
        <is>
          <t>2026-03-06</t>
        </is>
      </c>
      <c r="B42" t="inlineStr">
        <is>
          <t>地中海航线</t>
        </is>
      </c>
      <c r="C42" t="n">
        <v>2281.67</v>
      </c>
      <c r="D42" t="inlineStr">
        <is>
          <t>USD/TEU</t>
        </is>
      </c>
      <c r="E42" t="inlineStr">
        <is>
          <t>C_demo_interpolation</t>
        </is>
      </c>
      <c r="F42" t="n">
        <v>2304.51</v>
      </c>
      <c r="G42" t="n">
        <v>2432.75</v>
      </c>
      <c r="H42" t="n">
        <v>2675.65</v>
      </c>
      <c r="I42" t="n">
        <v>2891.35</v>
      </c>
      <c r="J42" t="n">
        <v>3071.1</v>
      </c>
      <c r="K42" t="n">
        <v>3144.5</v>
      </c>
      <c r="L42" t="n">
        <v>3191.5</v>
      </c>
      <c r="M42" t="n">
        <v>1.55</v>
      </c>
      <c r="N42" t="n">
        <v>-0.84</v>
      </c>
      <c r="O42" t="n">
        <v>3</v>
      </c>
      <c r="P42" t="inlineStr">
        <is>
          <t>连续上涨≥3周</t>
        </is>
      </c>
      <c r="Q42" t="inlineStr">
        <is>
          <t>黄色关注</t>
        </is>
      </c>
      <c r="R42" t="inlineStr">
        <is>
          <t>来自现有SCFI真实/公开线索与演示补全长表；C_demo_interpolation不作真实事实声明</t>
        </is>
      </c>
    </row>
    <row r="43">
      <c r="A43" t="inlineStr">
        <is>
          <t>2026-03-13</t>
        </is>
      </c>
      <c r="B43" t="inlineStr">
        <is>
          <t>地中海航线</t>
        </is>
      </c>
      <c r="C43" t="n">
        <v>2316.56</v>
      </c>
      <c r="D43" t="inlineStr">
        <is>
          <t>USD/TEU</t>
        </is>
      </c>
      <c r="E43" t="inlineStr">
        <is>
          <t>C_demo_interpolation</t>
        </is>
      </c>
      <c r="F43" t="n">
        <v>2304.51</v>
      </c>
      <c r="G43" t="n">
        <v>2432.75</v>
      </c>
      <c r="H43" t="n">
        <v>2675.65</v>
      </c>
      <c r="I43" t="n">
        <v>2891.35</v>
      </c>
      <c r="J43" t="n">
        <v>3071.1</v>
      </c>
      <c r="K43" t="n">
        <v>3144.5</v>
      </c>
      <c r="L43" t="n">
        <v>3191.5</v>
      </c>
      <c r="M43" t="n">
        <v>1.53</v>
      </c>
      <c r="N43" t="n">
        <v>-0.73</v>
      </c>
      <c r="O43" t="n">
        <v>4</v>
      </c>
      <c r="P43" t="inlineStr">
        <is>
          <t>连续上涨≥3周</t>
        </is>
      </c>
      <c r="Q43" t="inlineStr">
        <is>
          <t>黄色关注</t>
        </is>
      </c>
      <c r="R43" t="inlineStr">
        <is>
          <t>来自现有SCFI真实/公开线索与演示补全长表；C_demo_interpolation不作真实事实声明</t>
        </is>
      </c>
    </row>
    <row r="44">
      <c r="A44" t="inlineStr">
        <is>
          <t>2026-03-20</t>
        </is>
      </c>
      <c r="B44" t="inlineStr">
        <is>
          <t>地中海航线</t>
        </is>
      </c>
      <c r="C44" t="n">
        <v>2351.44</v>
      </c>
      <c r="D44" t="inlineStr">
        <is>
          <t>USD/TEU</t>
        </is>
      </c>
      <c r="E44" t="inlineStr">
        <is>
          <t>C_demo_interpolation</t>
        </is>
      </c>
      <c r="F44" t="n">
        <v>2304.51</v>
      </c>
      <c r="G44" t="n">
        <v>2432.75</v>
      </c>
      <c r="H44" t="n">
        <v>2675.65</v>
      </c>
      <c r="I44" t="n">
        <v>2891.35</v>
      </c>
      <c r="J44" t="n">
        <v>3071.1</v>
      </c>
      <c r="K44" t="n">
        <v>3144.5</v>
      </c>
      <c r="L44" t="n">
        <v>3191.5</v>
      </c>
      <c r="M44" t="n">
        <v>1.51</v>
      </c>
      <c r="N44" t="n">
        <v>-0.61</v>
      </c>
      <c r="O44" t="n">
        <v>5</v>
      </c>
      <c r="P44" t="inlineStr">
        <is>
          <t>连续上涨≥5周</t>
        </is>
      </c>
      <c r="Q44" t="inlineStr">
        <is>
          <t>红色预警</t>
        </is>
      </c>
      <c r="R44" t="inlineStr">
        <is>
          <t>来自现有SCFI真实/公开线索与演示补全长表；C_demo_interpolation不作真实事实声明</t>
        </is>
      </c>
    </row>
    <row r="45">
      <c r="A45" t="inlineStr">
        <is>
          <t>2026-03-27</t>
        </is>
      </c>
      <c r="B45" t="inlineStr">
        <is>
          <t>地中海航线</t>
        </is>
      </c>
      <c r="C45" t="n">
        <v>2386.33</v>
      </c>
      <c r="D45" t="inlineStr">
        <is>
          <t>USD/TEU</t>
        </is>
      </c>
      <c r="E45" t="inlineStr">
        <is>
          <t>C_demo_interpolation</t>
        </is>
      </c>
      <c r="F45" t="n">
        <v>2304.51</v>
      </c>
      <c r="G45" t="n">
        <v>2432.75</v>
      </c>
      <c r="H45" t="n">
        <v>2675.65</v>
      </c>
      <c r="I45" t="n">
        <v>2891.35</v>
      </c>
      <c r="J45" t="n">
        <v>3071.1</v>
      </c>
      <c r="K45" t="n">
        <v>3144.5</v>
      </c>
      <c r="L45" t="n">
        <v>3191.5</v>
      </c>
      <c r="M45" t="n">
        <v>1.48</v>
      </c>
      <c r="N45" t="n">
        <v>-0.5</v>
      </c>
      <c r="O45" t="n">
        <v>6</v>
      </c>
      <c r="P45" t="inlineStr">
        <is>
          <t>连续上涨≥5周</t>
        </is>
      </c>
      <c r="Q45" t="inlineStr">
        <is>
          <t>红色预警</t>
        </is>
      </c>
      <c r="R45" t="inlineStr">
        <is>
          <t>来自现有SCFI真实/公开线索与演示补全长表；C_demo_interpolation不作真实事实声明</t>
        </is>
      </c>
    </row>
    <row r="46">
      <c r="A46" t="inlineStr">
        <is>
          <t>2026-04-03</t>
        </is>
      </c>
      <c r="B46" t="inlineStr">
        <is>
          <t>地中海航线</t>
        </is>
      </c>
      <c r="C46" t="n">
        <v>2421.22</v>
      </c>
      <c r="D46" t="inlineStr">
        <is>
          <t>USD/TEU</t>
        </is>
      </c>
      <c r="E46" t="inlineStr">
        <is>
          <t>C_demo_interpolation</t>
        </is>
      </c>
      <c r="F46" t="n">
        <v>2304.51</v>
      </c>
      <c r="G46" t="n">
        <v>2432.75</v>
      </c>
      <c r="H46" t="n">
        <v>2675.65</v>
      </c>
      <c r="I46" t="n">
        <v>2891.35</v>
      </c>
      <c r="J46" t="n">
        <v>3071.1</v>
      </c>
      <c r="K46" t="n">
        <v>3144.5</v>
      </c>
      <c r="L46" t="n">
        <v>3191.5</v>
      </c>
      <c r="M46" t="n">
        <v>1.46</v>
      </c>
      <c r="N46" t="n">
        <v>-0.38</v>
      </c>
      <c r="O46" t="n">
        <v>7</v>
      </c>
      <c r="P46" t="inlineStr">
        <is>
          <t>连续上涨≥5周</t>
        </is>
      </c>
      <c r="Q46" t="inlineStr">
        <is>
          <t>红色预警</t>
        </is>
      </c>
      <c r="R46" t="inlineStr">
        <is>
          <t>来自现有SCFI真实/公开线索与演示补全长表；C_demo_interpolation不作真实事实声明</t>
        </is>
      </c>
    </row>
    <row r="47">
      <c r="A47" t="inlineStr">
        <is>
          <t>2026-04-10</t>
        </is>
      </c>
      <c r="B47" t="inlineStr">
        <is>
          <t>地中海航线</t>
        </is>
      </c>
      <c r="C47" t="n">
        <v>2456.11</v>
      </c>
      <c r="D47" t="inlineStr">
        <is>
          <t>USD/TEU</t>
        </is>
      </c>
      <c r="E47" t="inlineStr">
        <is>
          <t>C_demo_interpolation</t>
        </is>
      </c>
      <c r="F47" t="n">
        <v>2304.51</v>
      </c>
      <c r="G47" t="n">
        <v>2432.75</v>
      </c>
      <c r="H47" t="n">
        <v>2675.65</v>
      </c>
      <c r="I47" t="n">
        <v>2891.35</v>
      </c>
      <c r="J47" t="n">
        <v>3071.1</v>
      </c>
      <c r="K47" t="n">
        <v>3144.5</v>
      </c>
      <c r="L47" t="n">
        <v>3191.5</v>
      </c>
      <c r="M47" t="n">
        <v>1.44</v>
      </c>
      <c r="N47" t="n">
        <v>-0.27</v>
      </c>
      <c r="O47" t="n">
        <v>8</v>
      </c>
      <c r="P47" t="inlineStr">
        <is>
          <t>连续上涨≥5周</t>
        </is>
      </c>
      <c r="Q47" t="inlineStr">
        <is>
          <t>红色预警</t>
        </is>
      </c>
      <c r="R47" t="inlineStr">
        <is>
          <t>来自现有SCFI真实/公开线索与演示补全长表；C_demo_interpolation不作真实事实声明</t>
        </is>
      </c>
    </row>
    <row r="48">
      <c r="A48" t="inlineStr">
        <is>
          <t>2026-04-17</t>
        </is>
      </c>
      <c r="B48" t="inlineStr">
        <is>
          <t>地中海航线</t>
        </is>
      </c>
      <c r="C48" t="n">
        <v>2491</v>
      </c>
      <c r="D48" t="inlineStr">
        <is>
          <t>USD/TEU</t>
        </is>
      </c>
      <c r="E48" t="inlineStr">
        <is>
          <t>B_public_excerpt</t>
        </is>
      </c>
      <c r="F48" t="n">
        <v>2304.51</v>
      </c>
      <c r="G48" t="n">
        <v>2432.75</v>
      </c>
      <c r="H48" t="n">
        <v>2675.65</v>
      </c>
      <c r="I48" t="n">
        <v>2891.35</v>
      </c>
      <c r="J48" t="n">
        <v>3071.1</v>
      </c>
      <c r="K48" t="n">
        <v>3144.5</v>
      </c>
      <c r="L48" t="n">
        <v>3191.5</v>
      </c>
      <c r="M48" t="n">
        <v>1.42</v>
      </c>
      <c r="N48" t="n">
        <v>-0.15</v>
      </c>
      <c r="O48" t="n">
        <v>9</v>
      </c>
      <c r="P48" t="inlineStr">
        <is>
          <t>连续上涨≥5周</t>
        </is>
      </c>
      <c r="Q48" t="inlineStr">
        <is>
          <t>红色预警</t>
        </is>
      </c>
      <c r="R48" t="inlineStr">
        <is>
          <t>来自现有SCFI真实/公开线索与演示补全长表；C_demo_interpolation不作真实事实声明</t>
        </is>
      </c>
    </row>
    <row r="49">
      <c r="A49" t="inlineStr">
        <is>
          <t>2026-04-24</t>
        </is>
      </c>
      <c r="B49" t="inlineStr">
        <is>
          <t>地中海航线</t>
        </is>
      </c>
      <c r="C49" t="n">
        <v>2420</v>
      </c>
      <c r="D49" t="inlineStr">
        <is>
          <t>USD/TEU</t>
        </is>
      </c>
      <c r="E49" t="inlineStr">
        <is>
          <t>B_public_excerpt</t>
        </is>
      </c>
      <c r="F49" t="n">
        <v>2304.51</v>
      </c>
      <c r="G49" t="n">
        <v>2432.75</v>
      </c>
      <c r="H49" t="n">
        <v>2675.65</v>
      </c>
      <c r="I49" t="n">
        <v>2891.35</v>
      </c>
      <c r="J49" t="n">
        <v>3071.1</v>
      </c>
      <c r="K49" t="n">
        <v>3144.5</v>
      </c>
      <c r="L49" t="n">
        <v>3191.5</v>
      </c>
      <c r="M49" t="n">
        <v>-2.85</v>
      </c>
      <c r="N49" t="n">
        <v>-0.39</v>
      </c>
      <c r="O49" t="n">
        <v>0</v>
      </c>
      <c r="P49" t="inlineStr">
        <is>
          <t>无</t>
        </is>
      </c>
      <c r="Q49" t="inlineStr">
        <is>
          <t>正常</t>
        </is>
      </c>
      <c r="R49" t="inlineStr">
        <is>
          <t>来自现有SCFI真实/公开线索与演示补全长表；C_demo_interpolation不作真实事实声明</t>
        </is>
      </c>
    </row>
    <row r="50">
      <c r="A50" t="inlineStr">
        <is>
          <t>2026-05-01</t>
        </is>
      </c>
      <c r="B50" t="inlineStr">
        <is>
          <t>地中海航线</t>
        </is>
      </c>
      <c r="C50" t="n">
        <v>2441.5</v>
      </c>
      <c r="D50" t="inlineStr">
        <is>
          <t>USD/TEU</t>
        </is>
      </c>
      <c r="E50" t="inlineStr">
        <is>
          <t>C_demo_interpolation</t>
        </is>
      </c>
      <c r="F50" t="n">
        <v>2304.51</v>
      </c>
      <c r="G50" t="n">
        <v>2432.75</v>
      </c>
      <c r="H50" t="n">
        <v>2675.65</v>
      </c>
      <c r="I50" t="n">
        <v>2891.35</v>
      </c>
      <c r="J50" t="n">
        <v>3071.1</v>
      </c>
      <c r="K50" t="n">
        <v>3144.5</v>
      </c>
      <c r="L50" t="n">
        <v>3191.5</v>
      </c>
      <c r="M50" t="n">
        <v>0.89</v>
      </c>
      <c r="N50" t="n">
        <v>-0.31</v>
      </c>
      <c r="O50" t="n">
        <v>1</v>
      </c>
      <c r="P50" t="inlineStr">
        <is>
          <t>无</t>
        </is>
      </c>
      <c r="Q50" t="inlineStr">
        <is>
          <t>正常</t>
        </is>
      </c>
      <c r="R50" t="inlineStr">
        <is>
          <t>来自现有SCFI真实/公开线索与演示补全长表；C_demo_interpolation不作真实事实声明</t>
        </is>
      </c>
    </row>
    <row r="51">
      <c r="A51" t="inlineStr">
        <is>
          <t>2026-05-08</t>
        </is>
      </c>
      <c r="B51" t="inlineStr">
        <is>
          <t>地中海航线</t>
        </is>
      </c>
      <c r="C51" t="n">
        <v>2463</v>
      </c>
      <c r="D51" t="inlineStr">
        <is>
          <t>USD/TEU</t>
        </is>
      </c>
      <c r="E51" t="inlineStr">
        <is>
          <t>B_public_excerpt</t>
        </is>
      </c>
      <c r="F51" t="n">
        <v>2304.51</v>
      </c>
      <c r="G51" t="n">
        <v>2432.75</v>
      </c>
      <c r="H51" t="n">
        <v>2675.65</v>
      </c>
      <c r="I51" t="n">
        <v>2891.35</v>
      </c>
      <c r="J51" t="n">
        <v>3071.1</v>
      </c>
      <c r="K51" t="n">
        <v>3144.5</v>
      </c>
      <c r="L51" t="n">
        <v>3191.5</v>
      </c>
      <c r="M51" t="n">
        <v>0.88</v>
      </c>
      <c r="N51" t="n">
        <v>-0.24</v>
      </c>
      <c r="O51" t="n">
        <v>2</v>
      </c>
      <c r="P51" t="inlineStr">
        <is>
          <t>无</t>
        </is>
      </c>
      <c r="Q51" t="inlineStr">
        <is>
          <t>正常</t>
        </is>
      </c>
      <c r="R51" t="inlineStr">
        <is>
          <t>来自现有SCFI真实/公开线索与演示补全长表；C_demo_interpolation不作真实事实声明</t>
        </is>
      </c>
    </row>
    <row r="52">
      <c r="A52" t="inlineStr">
        <is>
          <t>2026-05-15</t>
        </is>
      </c>
      <c r="B52" t="inlineStr">
        <is>
          <t>地中海航线</t>
        </is>
      </c>
      <c r="C52" t="n">
        <v>3145</v>
      </c>
      <c r="D52" t="inlineStr">
        <is>
          <t>USD/TEU</t>
        </is>
      </c>
      <c r="E52" t="inlineStr">
        <is>
          <t>A_official</t>
        </is>
      </c>
      <c r="F52" t="n">
        <v>2304.51</v>
      </c>
      <c r="G52" t="n">
        <v>2432.75</v>
      </c>
      <c r="H52" t="n">
        <v>2675.65</v>
      </c>
      <c r="I52" t="n">
        <v>2891.35</v>
      </c>
      <c r="J52" t="n">
        <v>3071.1</v>
      </c>
      <c r="K52" t="n">
        <v>3144.5</v>
      </c>
      <c r="L52" t="n">
        <v>3191.5</v>
      </c>
      <c r="M52" t="n">
        <v>27.69</v>
      </c>
      <c r="N52" t="n">
        <v>2.01</v>
      </c>
      <c r="O52" t="n">
        <v>3</v>
      </c>
      <c r="P52" t="inlineStr">
        <is>
          <t>P95高位;周涨幅≥20%;Z≥2异常;连续上涨≥3周</t>
        </is>
      </c>
      <c r="Q52" t="inlineStr">
        <is>
          <t>红色预警</t>
        </is>
      </c>
      <c r="R52" t="inlineStr">
        <is>
          <t>来自现有SCFI真实/公开线索与演示补全长表；C_demo_interpolation不作真实事实声明</t>
        </is>
      </c>
    </row>
    <row r="53">
      <c r="A53" t="inlineStr">
        <is>
          <t>2026-05-22</t>
        </is>
      </c>
      <c r="B53" t="inlineStr">
        <is>
          <t>地中海航线</t>
        </is>
      </c>
      <c r="C53" t="n">
        <v>3207</v>
      </c>
      <c r="D53" t="inlineStr">
        <is>
          <t>USD/TEU</t>
        </is>
      </c>
      <c r="E53" t="inlineStr">
        <is>
          <t>A_official</t>
        </is>
      </c>
      <c r="F53" t="n">
        <v>2304.51</v>
      </c>
      <c r="G53" t="n">
        <v>2432.75</v>
      </c>
      <c r="H53" t="n">
        <v>2675.65</v>
      </c>
      <c r="I53" t="n">
        <v>2891.35</v>
      </c>
      <c r="J53" t="n">
        <v>3071.1</v>
      </c>
      <c r="K53" t="n">
        <v>3144.5</v>
      </c>
      <c r="L53" t="n">
        <v>3191.5</v>
      </c>
      <c r="M53" t="n">
        <v>1.97</v>
      </c>
      <c r="N53" t="n">
        <v>2.22</v>
      </c>
      <c r="O53" t="n">
        <v>4</v>
      </c>
      <c r="P53" t="inlineStr">
        <is>
          <t>P95高位;Z≥2异常;连续上涨≥3周</t>
        </is>
      </c>
      <c r="Q53" t="inlineStr">
        <is>
          <t>红色预警</t>
        </is>
      </c>
      <c r="R53" t="inlineStr">
        <is>
          <t>来自现有SCFI真实/公开线索与演示补全长表；C_demo_interpolation不作真实事实声明</t>
        </is>
      </c>
    </row>
    <row r="54">
      <c r="A54" t="inlineStr">
        <is>
          <t>2025-11-28</t>
        </is>
      </c>
      <c r="B54" t="inlineStr">
        <is>
          <t>美西航线</t>
        </is>
      </c>
      <c r="C54" t="n">
        <v>1632</v>
      </c>
      <c r="D54" t="inlineStr">
        <is>
          <t>USD/FEU</t>
        </is>
      </c>
      <c r="E54" t="inlineStr">
        <is>
          <t>B_public_excerpt</t>
        </is>
      </c>
      <c r="F54" t="n">
        <v>1924.88</v>
      </c>
      <c r="G54" t="n">
        <v>2134.75</v>
      </c>
      <c r="H54" t="n">
        <v>2510.5</v>
      </c>
      <c r="I54" t="n">
        <v>2635.5</v>
      </c>
      <c r="J54" t="n">
        <v>2766</v>
      </c>
      <c r="K54" t="n">
        <v>3045</v>
      </c>
      <c r="L54" t="n">
        <v>3145</v>
      </c>
      <c r="N54" t="n">
        <v>-1.41</v>
      </c>
      <c r="O54" t="n">
        <v>0</v>
      </c>
      <c r="P54" t="inlineStr">
        <is>
          <t>无</t>
        </is>
      </c>
      <c r="Q54" t="inlineStr">
        <is>
          <t>正常</t>
        </is>
      </c>
      <c r="R54" t="inlineStr">
        <is>
          <t>来自现有SCFI真实/公开线索与演示补全长表；C_demo_interpolation不作真实事实声明</t>
        </is>
      </c>
    </row>
    <row r="55">
      <c r="A55" t="inlineStr">
        <is>
          <t>2025-12-05</t>
        </is>
      </c>
      <c r="B55" t="inlineStr">
        <is>
          <t>美西航线</t>
        </is>
      </c>
      <c r="C55" t="n">
        <v>1550</v>
      </c>
      <c r="D55" t="inlineStr">
        <is>
          <t>USD/FEU</t>
        </is>
      </c>
      <c r="E55" t="inlineStr">
        <is>
          <t>B_public_excerpt</t>
        </is>
      </c>
      <c r="F55" t="n">
        <v>1924.88</v>
      </c>
      <c r="G55" t="n">
        <v>2134.75</v>
      </c>
      <c r="H55" t="n">
        <v>2510.5</v>
      </c>
      <c r="I55" t="n">
        <v>2635.5</v>
      </c>
      <c r="J55" t="n">
        <v>2766</v>
      </c>
      <c r="K55" t="n">
        <v>3045</v>
      </c>
      <c r="L55" t="n">
        <v>3145</v>
      </c>
      <c r="M55" t="n">
        <v>-5.02</v>
      </c>
      <c r="N55" t="n">
        <v>-1.61</v>
      </c>
      <c r="O55" t="n">
        <v>0</v>
      </c>
      <c r="P55" t="inlineStr">
        <is>
          <t>无</t>
        </is>
      </c>
      <c r="Q55" t="inlineStr">
        <is>
          <t>正常</t>
        </is>
      </c>
      <c r="R55" t="inlineStr">
        <is>
          <t>来自现有SCFI真实/公开线索与演示补全长表；C_demo_interpolation不作真实事实声明</t>
        </is>
      </c>
    </row>
    <row r="56">
      <c r="A56" t="inlineStr">
        <is>
          <t>2025-12-12</t>
        </is>
      </c>
      <c r="B56" t="inlineStr">
        <is>
          <t>美西航线</t>
        </is>
      </c>
      <c r="C56" t="n">
        <v>1771</v>
      </c>
      <c r="D56" t="inlineStr">
        <is>
          <t>USD/FEU</t>
        </is>
      </c>
      <c r="E56" t="inlineStr">
        <is>
          <t>C_demo_interpolation</t>
        </is>
      </c>
      <c r="F56" t="n">
        <v>1924.88</v>
      </c>
      <c r="G56" t="n">
        <v>2134.75</v>
      </c>
      <c r="H56" t="n">
        <v>2510.5</v>
      </c>
      <c r="I56" t="n">
        <v>2635.5</v>
      </c>
      <c r="J56" t="n">
        <v>2766</v>
      </c>
      <c r="K56" t="n">
        <v>3045</v>
      </c>
      <c r="L56" t="n">
        <v>3145</v>
      </c>
      <c r="M56" t="n">
        <v>14.26</v>
      </c>
      <c r="N56" t="n">
        <v>-1.07</v>
      </c>
      <c r="O56" t="n">
        <v>1</v>
      </c>
      <c r="P56" t="inlineStr">
        <is>
          <t>周涨幅≥10%</t>
        </is>
      </c>
      <c r="Q56" t="inlineStr">
        <is>
          <t>黄色关注</t>
        </is>
      </c>
      <c r="R56" t="inlineStr">
        <is>
          <t>来自现有SCFI真实/公开线索与演示补全长表；C_demo_interpolation不作真实事实声明</t>
        </is>
      </c>
    </row>
    <row r="57">
      <c r="A57" t="inlineStr">
        <is>
          <t>2025-12-19</t>
        </is>
      </c>
      <c r="B57" t="inlineStr">
        <is>
          <t>美西航线</t>
        </is>
      </c>
      <c r="C57" t="n">
        <v>1992</v>
      </c>
      <c r="D57" t="inlineStr">
        <is>
          <t>USD/FEU</t>
        </is>
      </c>
      <c r="E57" t="inlineStr">
        <is>
          <t>B_public_excerpt</t>
        </is>
      </c>
      <c r="F57" t="n">
        <v>1924.88</v>
      </c>
      <c r="G57" t="n">
        <v>2134.75</v>
      </c>
      <c r="H57" t="n">
        <v>2510.5</v>
      </c>
      <c r="I57" t="n">
        <v>2635.5</v>
      </c>
      <c r="J57" t="n">
        <v>2766</v>
      </c>
      <c r="K57" t="n">
        <v>3045</v>
      </c>
      <c r="L57" t="n">
        <v>3145</v>
      </c>
      <c r="M57" t="n">
        <v>12.48</v>
      </c>
      <c r="N57" t="n">
        <v>-0.54</v>
      </c>
      <c r="O57" t="n">
        <v>2</v>
      </c>
      <c r="P57" t="inlineStr">
        <is>
          <t>周涨幅≥10%</t>
        </is>
      </c>
      <c r="Q57" t="inlineStr">
        <is>
          <t>黄色关注</t>
        </is>
      </c>
      <c r="R57" t="inlineStr">
        <is>
          <t>来自现有SCFI真实/公开线索与演示补全长表；C_demo_interpolation不作真实事实声明</t>
        </is>
      </c>
    </row>
    <row r="58">
      <c r="A58" t="inlineStr">
        <is>
          <t>2025-12-26</t>
        </is>
      </c>
      <c r="B58" t="inlineStr">
        <is>
          <t>美西航线</t>
        </is>
      </c>
      <c r="C58" t="n">
        <v>2188</v>
      </c>
      <c r="D58" t="inlineStr">
        <is>
          <t>USD/FEU</t>
        </is>
      </c>
      <c r="E58" t="inlineStr">
        <is>
          <t>B_public_excerpt</t>
        </is>
      </c>
      <c r="F58" t="n">
        <v>1924.88</v>
      </c>
      <c r="G58" t="n">
        <v>2134.75</v>
      </c>
      <c r="H58" t="n">
        <v>2510.5</v>
      </c>
      <c r="I58" t="n">
        <v>2635.5</v>
      </c>
      <c r="J58" t="n">
        <v>2766</v>
      </c>
      <c r="K58" t="n">
        <v>3045</v>
      </c>
      <c r="L58" t="n">
        <v>3145</v>
      </c>
      <c r="M58" t="n">
        <v>9.84</v>
      </c>
      <c r="N58" t="n">
        <v>-0.07000000000000001</v>
      </c>
      <c r="O58" t="n">
        <v>3</v>
      </c>
      <c r="P58" t="inlineStr">
        <is>
          <t>连续上涨≥3周</t>
        </is>
      </c>
      <c r="Q58" t="inlineStr">
        <is>
          <t>黄色关注</t>
        </is>
      </c>
      <c r="R58" t="inlineStr">
        <is>
          <t>来自现有SCFI真实/公开线索与演示补全长表；C_demo_interpolation不作真实事实声明</t>
        </is>
      </c>
    </row>
    <row r="59">
      <c r="A59" t="inlineStr">
        <is>
          <t>2026-01-02</t>
        </is>
      </c>
      <c r="B59" t="inlineStr">
        <is>
          <t>美西航线</t>
        </is>
      </c>
      <c r="C59" t="n">
        <v>2162</v>
      </c>
      <c r="D59" t="inlineStr">
        <is>
          <t>USD/FEU</t>
        </is>
      </c>
      <c r="E59" t="inlineStr">
        <is>
          <t>C_demo_interpolation</t>
        </is>
      </c>
      <c r="F59" t="n">
        <v>1924.88</v>
      </c>
      <c r="G59" t="n">
        <v>2134.75</v>
      </c>
      <c r="H59" t="n">
        <v>2510.5</v>
      </c>
      <c r="I59" t="n">
        <v>2635.5</v>
      </c>
      <c r="J59" t="n">
        <v>2766</v>
      </c>
      <c r="K59" t="n">
        <v>3045</v>
      </c>
      <c r="L59" t="n">
        <v>3145</v>
      </c>
      <c r="M59" t="n">
        <v>-1.19</v>
      </c>
      <c r="N59" t="n">
        <v>-0.13</v>
      </c>
      <c r="O59" t="n">
        <v>0</v>
      </c>
      <c r="P59" t="inlineStr">
        <is>
          <t>无</t>
        </is>
      </c>
      <c r="Q59" t="inlineStr">
        <is>
          <t>正常</t>
        </is>
      </c>
      <c r="R59" t="inlineStr">
        <is>
          <t>来自现有SCFI真实/公开线索与演示补全长表；C_demo_interpolation不作真实事实声明</t>
        </is>
      </c>
    </row>
    <row r="60">
      <c r="A60" t="inlineStr">
        <is>
          <t>2026-01-09</t>
        </is>
      </c>
      <c r="B60" t="inlineStr">
        <is>
          <t>美西航线</t>
        </is>
      </c>
      <c r="C60" t="n">
        <v>2136</v>
      </c>
      <c r="D60" t="inlineStr">
        <is>
          <t>USD/FEU</t>
        </is>
      </c>
      <c r="E60" t="inlineStr">
        <is>
          <t>C_demo_interpolation</t>
        </is>
      </c>
      <c r="F60" t="n">
        <v>1924.88</v>
      </c>
      <c r="G60" t="n">
        <v>2134.75</v>
      </c>
      <c r="H60" t="n">
        <v>2510.5</v>
      </c>
      <c r="I60" t="n">
        <v>2635.5</v>
      </c>
      <c r="J60" t="n">
        <v>2766</v>
      </c>
      <c r="K60" t="n">
        <v>3045</v>
      </c>
      <c r="L60" t="n">
        <v>3145</v>
      </c>
      <c r="M60" t="n">
        <v>-1.2</v>
      </c>
      <c r="N60" t="n">
        <v>-0.19</v>
      </c>
      <c r="O60" t="n">
        <v>0</v>
      </c>
      <c r="P60" t="inlineStr">
        <is>
          <t>无</t>
        </is>
      </c>
      <c r="Q60" t="inlineStr">
        <is>
          <t>正常</t>
        </is>
      </c>
      <c r="R60" t="inlineStr">
        <is>
          <t>来自现有SCFI真实/公开线索与演示补全长表；C_demo_interpolation不作真实事实声明</t>
        </is>
      </c>
    </row>
    <row r="61">
      <c r="A61" t="inlineStr">
        <is>
          <t>2026-01-16</t>
        </is>
      </c>
      <c r="B61" t="inlineStr">
        <is>
          <t>美西航线</t>
        </is>
      </c>
      <c r="C61" t="n">
        <v>2110</v>
      </c>
      <c r="D61" t="inlineStr">
        <is>
          <t>USD/FEU</t>
        </is>
      </c>
      <c r="E61" t="inlineStr">
        <is>
          <t>C_demo_interpolation</t>
        </is>
      </c>
      <c r="F61" t="n">
        <v>1924.88</v>
      </c>
      <c r="G61" t="n">
        <v>2134.75</v>
      </c>
      <c r="H61" t="n">
        <v>2510.5</v>
      </c>
      <c r="I61" t="n">
        <v>2635.5</v>
      </c>
      <c r="J61" t="n">
        <v>2766</v>
      </c>
      <c r="K61" t="n">
        <v>3045</v>
      </c>
      <c r="L61" t="n">
        <v>3145</v>
      </c>
      <c r="M61" t="n">
        <v>-1.22</v>
      </c>
      <c r="N61" t="n">
        <v>-0.25</v>
      </c>
      <c r="O61" t="n">
        <v>0</v>
      </c>
      <c r="P61" t="inlineStr">
        <is>
          <t>无</t>
        </is>
      </c>
      <c r="Q61" t="inlineStr">
        <is>
          <t>正常</t>
        </is>
      </c>
      <c r="R61" t="inlineStr">
        <is>
          <t>来自现有SCFI真实/公开线索与演示补全长表；C_demo_interpolation不作真实事实声明</t>
        </is>
      </c>
    </row>
    <row r="62">
      <c r="A62" t="inlineStr">
        <is>
          <t>2026-01-23</t>
        </is>
      </c>
      <c r="B62" t="inlineStr">
        <is>
          <t>美西航线</t>
        </is>
      </c>
      <c r="C62" t="n">
        <v>2084</v>
      </c>
      <c r="D62" t="inlineStr">
        <is>
          <t>USD/FEU</t>
        </is>
      </c>
      <c r="E62" t="inlineStr">
        <is>
          <t>B_public_excerpt</t>
        </is>
      </c>
      <c r="F62" t="n">
        <v>1924.88</v>
      </c>
      <c r="G62" t="n">
        <v>2134.75</v>
      </c>
      <c r="H62" t="n">
        <v>2510.5</v>
      </c>
      <c r="I62" t="n">
        <v>2635.5</v>
      </c>
      <c r="J62" t="n">
        <v>2766</v>
      </c>
      <c r="K62" t="n">
        <v>3045</v>
      </c>
      <c r="L62" t="n">
        <v>3145</v>
      </c>
      <c r="M62" t="n">
        <v>-1.23</v>
      </c>
      <c r="N62" t="n">
        <v>-0.32</v>
      </c>
      <c r="O62" t="n">
        <v>0</v>
      </c>
      <c r="P62" t="inlineStr">
        <is>
          <t>无</t>
        </is>
      </c>
      <c r="Q62" t="inlineStr">
        <is>
          <t>正常</t>
        </is>
      </c>
      <c r="R62" t="inlineStr">
        <is>
          <t>来自现有SCFI真实/公开线索与演示补全长表；C_demo_interpolation不作真实事实声明</t>
        </is>
      </c>
    </row>
    <row r="63">
      <c r="A63" t="inlineStr">
        <is>
          <t>2026-01-30</t>
        </is>
      </c>
      <c r="B63" t="inlineStr">
        <is>
          <t>美西航线</t>
        </is>
      </c>
      <c r="C63" t="n">
        <v>1867</v>
      </c>
      <c r="D63" t="inlineStr">
        <is>
          <t>USD/FEU</t>
        </is>
      </c>
      <c r="E63" t="inlineStr">
        <is>
          <t>B_public_excerpt</t>
        </is>
      </c>
      <c r="F63" t="n">
        <v>1924.88</v>
      </c>
      <c r="G63" t="n">
        <v>2134.75</v>
      </c>
      <c r="H63" t="n">
        <v>2510.5</v>
      </c>
      <c r="I63" t="n">
        <v>2635.5</v>
      </c>
      <c r="J63" t="n">
        <v>2766</v>
      </c>
      <c r="K63" t="n">
        <v>3045</v>
      </c>
      <c r="L63" t="n">
        <v>3145</v>
      </c>
      <c r="M63" t="n">
        <v>-10.41</v>
      </c>
      <c r="N63" t="n">
        <v>-0.84</v>
      </c>
      <c r="O63" t="n">
        <v>0</v>
      </c>
      <c r="P63" t="inlineStr">
        <is>
          <t>无</t>
        </is>
      </c>
      <c r="Q63" t="inlineStr">
        <is>
          <t>正常</t>
        </is>
      </c>
      <c r="R63" t="inlineStr">
        <is>
          <t>来自现有SCFI真实/公开线索与演示补全长表；C_demo_interpolation不作真实事实声明</t>
        </is>
      </c>
    </row>
    <row r="64">
      <c r="A64" t="inlineStr">
        <is>
          <t>2026-02-06</t>
        </is>
      </c>
      <c r="B64" t="inlineStr">
        <is>
          <t>美西航线</t>
        </is>
      </c>
      <c r="C64" t="n">
        <v>1801</v>
      </c>
      <c r="D64" t="inlineStr">
        <is>
          <t>USD/FEU</t>
        </is>
      </c>
      <c r="E64" t="inlineStr">
        <is>
          <t>B_public_excerpt</t>
        </is>
      </c>
      <c r="F64" t="n">
        <v>1924.88</v>
      </c>
      <c r="G64" t="n">
        <v>2134.75</v>
      </c>
      <c r="H64" t="n">
        <v>2510.5</v>
      </c>
      <c r="I64" t="n">
        <v>2635.5</v>
      </c>
      <c r="J64" t="n">
        <v>2766</v>
      </c>
      <c r="K64" t="n">
        <v>3045</v>
      </c>
      <c r="L64" t="n">
        <v>3145</v>
      </c>
      <c r="M64" t="n">
        <v>-3.54</v>
      </c>
      <c r="N64" t="n">
        <v>-1</v>
      </c>
      <c r="O64" t="n">
        <v>0</v>
      </c>
      <c r="P64" t="inlineStr">
        <is>
          <t>无</t>
        </is>
      </c>
      <c r="Q64" t="inlineStr">
        <is>
          <t>正常</t>
        </is>
      </c>
      <c r="R64" t="inlineStr">
        <is>
          <t>来自现有SCFI真实/公开线索与演示补全长表；C_demo_interpolation不作真实事实声明</t>
        </is>
      </c>
    </row>
    <row r="65">
      <c r="A65" t="inlineStr">
        <is>
          <t>2026-02-13</t>
        </is>
      </c>
      <c r="B65" t="inlineStr">
        <is>
          <t>美西航线</t>
        </is>
      </c>
      <c r="C65" t="n">
        <v>1787</v>
      </c>
      <c r="D65" t="inlineStr">
        <is>
          <t>USD/FEU</t>
        </is>
      </c>
      <c r="E65" t="inlineStr">
        <is>
          <t>B_public_excerpt</t>
        </is>
      </c>
      <c r="F65" t="n">
        <v>1924.88</v>
      </c>
      <c r="G65" t="n">
        <v>2134.75</v>
      </c>
      <c r="H65" t="n">
        <v>2510.5</v>
      </c>
      <c r="I65" t="n">
        <v>2635.5</v>
      </c>
      <c r="J65" t="n">
        <v>2766</v>
      </c>
      <c r="K65" t="n">
        <v>3045</v>
      </c>
      <c r="L65" t="n">
        <v>3145</v>
      </c>
      <c r="M65" t="n">
        <v>-0.78</v>
      </c>
      <c r="N65" t="n">
        <v>-1.03</v>
      </c>
      <c r="O65" t="n">
        <v>0</v>
      </c>
      <c r="P65" t="inlineStr">
        <is>
          <t>无</t>
        </is>
      </c>
      <c r="Q65" t="inlineStr">
        <is>
          <t>正常</t>
        </is>
      </c>
      <c r="R65" t="inlineStr">
        <is>
          <t>来自现有SCFI真实/公开线索与演示补全长表；C_demo_interpolation不作真实事实声明</t>
        </is>
      </c>
    </row>
    <row r="66">
      <c r="A66" t="inlineStr">
        <is>
          <t>2026-02-20</t>
        </is>
      </c>
      <c r="B66" t="inlineStr">
        <is>
          <t>美西航线</t>
        </is>
      </c>
      <c r="C66" t="n">
        <v>1902.5</v>
      </c>
      <c r="D66" t="inlineStr">
        <is>
          <t>USD/FEU</t>
        </is>
      </c>
      <c r="E66" t="inlineStr">
        <is>
          <t>C_demo_interpolation</t>
        </is>
      </c>
      <c r="F66" t="n">
        <v>1924.88</v>
      </c>
      <c r="G66" t="n">
        <v>2134.75</v>
      </c>
      <c r="H66" t="n">
        <v>2510.5</v>
      </c>
      <c r="I66" t="n">
        <v>2635.5</v>
      </c>
      <c r="J66" t="n">
        <v>2766</v>
      </c>
      <c r="K66" t="n">
        <v>3045</v>
      </c>
      <c r="L66" t="n">
        <v>3145</v>
      </c>
      <c r="M66" t="n">
        <v>6.46</v>
      </c>
      <c r="N66" t="n">
        <v>-0.75</v>
      </c>
      <c r="O66" t="n">
        <v>1</v>
      </c>
      <c r="P66" t="inlineStr">
        <is>
          <t>无</t>
        </is>
      </c>
      <c r="Q66" t="inlineStr">
        <is>
          <t>正常</t>
        </is>
      </c>
      <c r="R66" t="inlineStr">
        <is>
          <t>来自现有SCFI真实/公开线索与演示补全长表；C_demo_interpolation不作真实事实声明</t>
        </is>
      </c>
    </row>
    <row r="67">
      <c r="A67" t="inlineStr">
        <is>
          <t>2026-02-27</t>
        </is>
      </c>
      <c r="B67" t="inlineStr">
        <is>
          <t>美西航线</t>
        </is>
      </c>
      <c r="C67" t="n">
        <v>2018</v>
      </c>
      <c r="D67" t="inlineStr">
        <is>
          <t>USD/FEU</t>
        </is>
      </c>
      <c r="E67" t="inlineStr">
        <is>
          <t>C_demo_interpolation</t>
        </is>
      </c>
      <c r="F67" t="n">
        <v>1924.88</v>
      </c>
      <c r="G67" t="n">
        <v>2134.75</v>
      </c>
      <c r="H67" t="n">
        <v>2510.5</v>
      </c>
      <c r="I67" t="n">
        <v>2635.5</v>
      </c>
      <c r="J67" t="n">
        <v>2766</v>
      </c>
      <c r="K67" t="n">
        <v>3045</v>
      </c>
      <c r="L67" t="n">
        <v>3145</v>
      </c>
      <c r="M67" t="n">
        <v>6.07</v>
      </c>
      <c r="N67" t="n">
        <v>-0.48</v>
      </c>
      <c r="O67" t="n">
        <v>2</v>
      </c>
      <c r="P67" t="inlineStr">
        <is>
          <t>无</t>
        </is>
      </c>
      <c r="Q67" t="inlineStr">
        <is>
          <t>正常</t>
        </is>
      </c>
      <c r="R67" t="inlineStr">
        <is>
          <t>来自现有SCFI真实/公开线索与演示补全长表；C_demo_interpolation不作真实事实声明</t>
        </is>
      </c>
    </row>
    <row r="68">
      <c r="A68" t="inlineStr">
        <is>
          <t>2026-03-06</t>
        </is>
      </c>
      <c r="B68" t="inlineStr">
        <is>
          <t>美西航线</t>
        </is>
      </c>
      <c r="C68" t="n">
        <v>2133.5</v>
      </c>
      <c r="D68" t="inlineStr">
        <is>
          <t>USD/FEU</t>
        </is>
      </c>
      <c r="E68" t="inlineStr">
        <is>
          <t>C_demo_interpolation</t>
        </is>
      </c>
      <c r="F68" t="n">
        <v>1924.88</v>
      </c>
      <c r="G68" t="n">
        <v>2134.75</v>
      </c>
      <c r="H68" t="n">
        <v>2510.5</v>
      </c>
      <c r="I68" t="n">
        <v>2635.5</v>
      </c>
      <c r="J68" t="n">
        <v>2766</v>
      </c>
      <c r="K68" t="n">
        <v>3045</v>
      </c>
      <c r="L68" t="n">
        <v>3145</v>
      </c>
      <c r="M68" t="n">
        <v>5.72</v>
      </c>
      <c r="N68" t="n">
        <v>-0.2</v>
      </c>
      <c r="O68" t="n">
        <v>3</v>
      </c>
      <c r="P68" t="inlineStr">
        <is>
          <t>连续上涨≥3周</t>
        </is>
      </c>
      <c r="Q68" t="inlineStr">
        <is>
          <t>黄色关注</t>
        </is>
      </c>
      <c r="R68" t="inlineStr">
        <is>
          <t>来自现有SCFI真实/公开线索与演示补全长表；C_demo_interpolation不作真实事实声明</t>
        </is>
      </c>
    </row>
    <row r="69">
      <c r="A69" t="inlineStr">
        <is>
          <t>2026-03-13</t>
        </is>
      </c>
      <c r="B69" t="inlineStr">
        <is>
          <t>美西航线</t>
        </is>
      </c>
      <c r="C69" t="n">
        <v>2249</v>
      </c>
      <c r="D69" t="inlineStr">
        <is>
          <t>USD/FEU</t>
        </is>
      </c>
      <c r="E69" t="inlineStr">
        <is>
          <t>B_public_excerpt</t>
        </is>
      </c>
      <c r="F69" t="n">
        <v>1924.88</v>
      </c>
      <c r="G69" t="n">
        <v>2134.75</v>
      </c>
      <c r="H69" t="n">
        <v>2510.5</v>
      </c>
      <c r="I69" t="n">
        <v>2635.5</v>
      </c>
      <c r="J69" t="n">
        <v>2766</v>
      </c>
      <c r="K69" t="n">
        <v>3045</v>
      </c>
      <c r="L69" t="n">
        <v>3145</v>
      </c>
      <c r="M69" t="n">
        <v>5.41</v>
      </c>
      <c r="N69" t="n">
        <v>0.08</v>
      </c>
      <c r="O69" t="n">
        <v>4</v>
      </c>
      <c r="P69" t="inlineStr">
        <is>
          <t>连续上涨≥3周</t>
        </is>
      </c>
      <c r="Q69" t="inlineStr">
        <is>
          <t>黄色关注</t>
        </is>
      </c>
      <c r="R69" t="inlineStr">
        <is>
          <t>来自现有SCFI真实/公开线索与演示补全长表；C_demo_interpolation不作真实事实声明</t>
        </is>
      </c>
    </row>
    <row r="70">
      <c r="A70" t="inlineStr">
        <is>
          <t>2026-03-20</t>
        </is>
      </c>
      <c r="B70" t="inlineStr">
        <is>
          <t>美西航线</t>
        </is>
      </c>
      <c r="C70" t="n">
        <v>2054</v>
      </c>
      <c r="D70" t="inlineStr">
        <is>
          <t>USD/FEU</t>
        </is>
      </c>
      <c r="E70" t="inlineStr">
        <is>
          <t>B_public_excerpt</t>
        </is>
      </c>
      <c r="F70" t="n">
        <v>1924.88</v>
      </c>
      <c r="G70" t="n">
        <v>2134.75</v>
      </c>
      <c r="H70" t="n">
        <v>2510.5</v>
      </c>
      <c r="I70" t="n">
        <v>2635.5</v>
      </c>
      <c r="J70" t="n">
        <v>2766</v>
      </c>
      <c r="K70" t="n">
        <v>3045</v>
      </c>
      <c r="L70" t="n">
        <v>3145</v>
      </c>
      <c r="M70" t="n">
        <v>-8.67</v>
      </c>
      <c r="N70" t="n">
        <v>-0.39</v>
      </c>
      <c r="O70" t="n">
        <v>0</v>
      </c>
      <c r="P70" t="inlineStr">
        <is>
          <t>无</t>
        </is>
      </c>
      <c r="Q70" t="inlineStr">
        <is>
          <t>正常</t>
        </is>
      </c>
      <c r="R70" t="inlineStr">
        <is>
          <t>来自现有SCFI真实/公开线索与演示补全长表；C_demo_interpolation不作真实事实声明</t>
        </is>
      </c>
    </row>
    <row r="71">
      <c r="A71" t="inlineStr">
        <is>
          <t>2026-03-27</t>
        </is>
      </c>
      <c r="B71" t="inlineStr">
        <is>
          <t>美西航线</t>
        </is>
      </c>
      <c r="C71" t="n">
        <v>2220</v>
      </c>
      <c r="D71" t="inlineStr">
        <is>
          <t>USD/FEU</t>
        </is>
      </c>
      <c r="E71" t="inlineStr">
        <is>
          <t>C_demo_interpolation</t>
        </is>
      </c>
      <c r="F71" t="n">
        <v>1924.88</v>
      </c>
      <c r="G71" t="n">
        <v>2134.75</v>
      </c>
      <c r="H71" t="n">
        <v>2510.5</v>
      </c>
      <c r="I71" t="n">
        <v>2635.5</v>
      </c>
      <c r="J71" t="n">
        <v>2766</v>
      </c>
      <c r="K71" t="n">
        <v>3045</v>
      </c>
      <c r="L71" t="n">
        <v>3145</v>
      </c>
      <c r="M71" t="n">
        <v>8.08</v>
      </c>
      <c r="N71" t="n">
        <v>0.01</v>
      </c>
      <c r="O71" t="n">
        <v>1</v>
      </c>
      <c r="P71" t="inlineStr">
        <is>
          <t>无</t>
        </is>
      </c>
      <c r="Q71" t="inlineStr">
        <is>
          <t>正常</t>
        </is>
      </c>
      <c r="R71" t="inlineStr">
        <is>
          <t>来自现有SCFI真实/公开线索与演示补全长表；C_demo_interpolation不作真实事实声明</t>
        </is>
      </c>
    </row>
    <row r="72">
      <c r="A72" t="inlineStr">
        <is>
          <t>2026-04-03</t>
        </is>
      </c>
      <c r="B72" t="inlineStr">
        <is>
          <t>美西航线</t>
        </is>
      </c>
      <c r="C72" t="n">
        <v>2386</v>
      </c>
      <c r="D72" t="inlineStr">
        <is>
          <t>USD/FEU</t>
        </is>
      </c>
      <c r="E72" t="inlineStr">
        <is>
          <t>C_demo_interpolation</t>
        </is>
      </c>
      <c r="F72" t="n">
        <v>1924.88</v>
      </c>
      <c r="G72" t="n">
        <v>2134.75</v>
      </c>
      <c r="H72" t="n">
        <v>2510.5</v>
      </c>
      <c r="I72" t="n">
        <v>2635.5</v>
      </c>
      <c r="J72" t="n">
        <v>2766</v>
      </c>
      <c r="K72" t="n">
        <v>3045</v>
      </c>
      <c r="L72" t="n">
        <v>3145</v>
      </c>
      <c r="M72" t="n">
        <v>7.48</v>
      </c>
      <c r="N72" t="n">
        <v>0.41</v>
      </c>
      <c r="O72" t="n">
        <v>2</v>
      </c>
      <c r="P72" t="inlineStr">
        <is>
          <t>无</t>
        </is>
      </c>
      <c r="Q72" t="inlineStr">
        <is>
          <t>正常</t>
        </is>
      </c>
      <c r="R72" t="inlineStr">
        <is>
          <t>来自现有SCFI真实/公开线索与演示补全长表；C_demo_interpolation不作真实事实声明</t>
        </is>
      </c>
    </row>
    <row r="73">
      <c r="A73" t="inlineStr">
        <is>
          <t>2026-04-10</t>
        </is>
      </c>
      <c r="B73" t="inlineStr">
        <is>
          <t>美西航线</t>
        </is>
      </c>
      <c r="C73" t="n">
        <v>2552</v>
      </c>
      <c r="D73" t="inlineStr">
        <is>
          <t>USD/FEU</t>
        </is>
      </c>
      <c r="E73" t="inlineStr">
        <is>
          <t>B_public_excerpt</t>
        </is>
      </c>
      <c r="F73" t="n">
        <v>1924.88</v>
      </c>
      <c r="G73" t="n">
        <v>2134.75</v>
      </c>
      <c r="H73" t="n">
        <v>2510.5</v>
      </c>
      <c r="I73" t="n">
        <v>2635.5</v>
      </c>
      <c r="J73" t="n">
        <v>2766</v>
      </c>
      <c r="K73" t="n">
        <v>3045</v>
      </c>
      <c r="L73" t="n">
        <v>3145</v>
      </c>
      <c r="M73" t="n">
        <v>6.96</v>
      </c>
      <c r="N73" t="n">
        <v>0.8100000000000001</v>
      </c>
      <c r="O73" t="n">
        <v>3</v>
      </c>
      <c r="P73" t="inlineStr">
        <is>
          <t>连续上涨≥3周</t>
        </is>
      </c>
      <c r="Q73" t="inlineStr">
        <is>
          <t>黄色关注</t>
        </is>
      </c>
      <c r="R73" t="inlineStr">
        <is>
          <t>来自现有SCFI真实/公开线索与演示补全长表；C_demo_interpolation不作真实事实声明</t>
        </is>
      </c>
    </row>
    <row r="74">
      <c r="A74" t="inlineStr">
        <is>
          <t>2026-04-17</t>
        </is>
      </c>
      <c r="B74" t="inlineStr">
        <is>
          <t>美西航线</t>
        </is>
      </c>
      <c r="C74" t="n">
        <v>2612</v>
      </c>
      <c r="D74" t="inlineStr">
        <is>
          <t>USD/FEU</t>
        </is>
      </c>
      <c r="E74" t="inlineStr">
        <is>
          <t>B_public_excerpt</t>
        </is>
      </c>
      <c r="F74" t="n">
        <v>1924.88</v>
      </c>
      <c r="G74" t="n">
        <v>2134.75</v>
      </c>
      <c r="H74" t="n">
        <v>2510.5</v>
      </c>
      <c r="I74" t="n">
        <v>2635.5</v>
      </c>
      <c r="J74" t="n">
        <v>2766</v>
      </c>
      <c r="K74" t="n">
        <v>3045</v>
      </c>
      <c r="L74" t="n">
        <v>3145</v>
      </c>
      <c r="M74" t="n">
        <v>2.35</v>
      </c>
      <c r="N74" t="n">
        <v>0.96</v>
      </c>
      <c r="O74" t="n">
        <v>4</v>
      </c>
      <c r="P74" t="inlineStr">
        <is>
          <t>连续上涨≥3周</t>
        </is>
      </c>
      <c r="Q74" t="inlineStr">
        <is>
          <t>黄色关注</t>
        </is>
      </c>
      <c r="R74" t="inlineStr">
        <is>
          <t>来自现有SCFI真实/公开线索与演示补全长表；C_demo_interpolation不作真实事实声明</t>
        </is>
      </c>
    </row>
    <row r="75">
      <c r="A75" t="inlineStr">
        <is>
          <t>2026-04-24</t>
        </is>
      </c>
      <c r="B75" t="inlineStr">
        <is>
          <t>美西航线</t>
        </is>
      </c>
      <c r="C75" t="n">
        <v>2586</v>
      </c>
      <c r="D75" t="inlineStr">
        <is>
          <t>USD/FEU</t>
        </is>
      </c>
      <c r="E75" t="inlineStr">
        <is>
          <t>B_public_excerpt</t>
        </is>
      </c>
      <c r="F75" t="n">
        <v>1924.88</v>
      </c>
      <c r="G75" t="n">
        <v>2134.75</v>
      </c>
      <c r="H75" t="n">
        <v>2510.5</v>
      </c>
      <c r="I75" t="n">
        <v>2635.5</v>
      </c>
      <c r="J75" t="n">
        <v>2766</v>
      </c>
      <c r="K75" t="n">
        <v>3045</v>
      </c>
      <c r="L75" t="n">
        <v>3145</v>
      </c>
      <c r="M75" t="n">
        <v>-1</v>
      </c>
      <c r="N75" t="n">
        <v>0.89</v>
      </c>
      <c r="O75" t="n">
        <v>0</v>
      </c>
      <c r="P75" t="inlineStr">
        <is>
          <t>无</t>
        </is>
      </c>
      <c r="Q75" t="inlineStr">
        <is>
          <t>正常</t>
        </is>
      </c>
      <c r="R75" t="inlineStr">
        <is>
          <t>来自现有SCFI真实/公开线索与演示补全长表；C_demo_interpolation不作真实事实声明</t>
        </is>
      </c>
    </row>
    <row r="76">
      <c r="A76" t="inlineStr">
        <is>
          <t>2026-05-01</t>
        </is>
      </c>
      <c r="B76" t="inlineStr">
        <is>
          <t>美西航线</t>
        </is>
      </c>
      <c r="C76" t="n">
        <v>2706</v>
      </c>
      <c r="D76" t="inlineStr">
        <is>
          <t>USD/FEU</t>
        </is>
      </c>
      <c r="E76" t="inlineStr">
        <is>
          <t>C_demo_interpolation</t>
        </is>
      </c>
      <c r="F76" t="n">
        <v>1924.88</v>
      </c>
      <c r="G76" t="n">
        <v>2134.75</v>
      </c>
      <c r="H76" t="n">
        <v>2510.5</v>
      </c>
      <c r="I76" t="n">
        <v>2635.5</v>
      </c>
      <c r="J76" t="n">
        <v>2766</v>
      </c>
      <c r="K76" t="n">
        <v>3045</v>
      </c>
      <c r="L76" t="n">
        <v>3145</v>
      </c>
      <c r="M76" t="n">
        <v>4.64</v>
      </c>
      <c r="N76" t="n">
        <v>1.18</v>
      </c>
      <c r="O76" t="n">
        <v>1</v>
      </c>
      <c r="P76" t="inlineStr">
        <is>
          <t>P85关注</t>
        </is>
      </c>
      <c r="Q76" t="inlineStr">
        <is>
          <t>黄色关注</t>
        </is>
      </c>
      <c r="R76" t="inlineStr">
        <is>
          <t>来自现有SCFI真实/公开线索与演示补全长表；C_demo_interpolation不作真实事实声明</t>
        </is>
      </c>
    </row>
    <row r="77">
      <c r="A77" t="inlineStr">
        <is>
          <t>2026-05-08</t>
        </is>
      </c>
      <c r="B77" t="inlineStr">
        <is>
          <t>美西航线</t>
        </is>
      </c>
      <c r="C77" t="n">
        <v>2826</v>
      </c>
      <c r="D77" t="inlineStr">
        <is>
          <t>USD/FEU</t>
        </is>
      </c>
      <c r="E77" t="inlineStr">
        <is>
          <t>B_public_excerpt</t>
        </is>
      </c>
      <c r="F77" t="n">
        <v>1924.88</v>
      </c>
      <c r="G77" t="n">
        <v>2134.75</v>
      </c>
      <c r="H77" t="n">
        <v>2510.5</v>
      </c>
      <c r="I77" t="n">
        <v>2635.5</v>
      </c>
      <c r="J77" t="n">
        <v>2766</v>
      </c>
      <c r="K77" t="n">
        <v>3045</v>
      </c>
      <c r="L77" t="n">
        <v>3145</v>
      </c>
      <c r="M77" t="n">
        <v>4.43</v>
      </c>
      <c r="N77" t="n">
        <v>1.47</v>
      </c>
      <c r="O77" t="n">
        <v>2</v>
      </c>
      <c r="P77" t="inlineStr">
        <is>
          <t>P85关注</t>
        </is>
      </c>
      <c r="Q77" t="inlineStr">
        <is>
          <t>黄色关注</t>
        </is>
      </c>
      <c r="R77" t="inlineStr">
        <is>
          <t>来自现有SCFI真实/公开线索与演示补全长表；C_demo_interpolation不作真实事实声明</t>
        </is>
      </c>
    </row>
    <row r="78">
      <c r="A78" t="inlineStr">
        <is>
          <t>2026-05-15</t>
        </is>
      </c>
      <c r="B78" t="inlineStr">
        <is>
          <t>美西航线</t>
        </is>
      </c>
      <c r="C78" t="n">
        <v>3118</v>
      </c>
      <c r="D78" t="inlineStr">
        <is>
          <t>USD/FEU</t>
        </is>
      </c>
      <c r="E78" t="inlineStr">
        <is>
          <t>A_official</t>
        </is>
      </c>
      <c r="F78" t="n">
        <v>1924.88</v>
      </c>
      <c r="G78" t="n">
        <v>2134.75</v>
      </c>
      <c r="H78" t="n">
        <v>2510.5</v>
      </c>
      <c r="I78" t="n">
        <v>2635.5</v>
      </c>
      <c r="J78" t="n">
        <v>2766</v>
      </c>
      <c r="K78" t="n">
        <v>3045</v>
      </c>
      <c r="L78" t="n">
        <v>3145</v>
      </c>
      <c r="M78" t="n">
        <v>10.33</v>
      </c>
      <c r="N78" t="n">
        <v>2.18</v>
      </c>
      <c r="O78" t="n">
        <v>3</v>
      </c>
      <c r="P78" t="inlineStr">
        <is>
          <t>P95高位;周涨幅≥10%;Z≥2异常;连续上涨≥3周</t>
        </is>
      </c>
      <c r="Q78" t="inlineStr">
        <is>
          <t>红色预警</t>
        </is>
      </c>
      <c r="R78" t="inlineStr">
        <is>
          <t>来自现有SCFI真实/公开线索与演示补全长表；C_demo_interpolation不作真实事实声明</t>
        </is>
      </c>
    </row>
    <row r="79">
      <c r="A79" t="inlineStr">
        <is>
          <t>2026-05-22</t>
        </is>
      </c>
      <c r="B79" t="inlineStr">
        <is>
          <t>美西航线</t>
        </is>
      </c>
      <c r="C79" t="n">
        <v>3154</v>
      </c>
      <c r="D79" t="inlineStr">
        <is>
          <t>USD/FEU</t>
        </is>
      </c>
      <c r="E79" t="inlineStr">
        <is>
          <t>A_official</t>
        </is>
      </c>
      <c r="F79" t="n">
        <v>1924.88</v>
      </c>
      <c r="G79" t="n">
        <v>2134.75</v>
      </c>
      <c r="H79" t="n">
        <v>2510.5</v>
      </c>
      <c r="I79" t="n">
        <v>2635.5</v>
      </c>
      <c r="J79" t="n">
        <v>2766</v>
      </c>
      <c r="K79" t="n">
        <v>3045</v>
      </c>
      <c r="L79" t="n">
        <v>3145</v>
      </c>
      <c r="M79" t="n">
        <v>1.15</v>
      </c>
      <c r="N79" t="n">
        <v>2.27</v>
      </c>
      <c r="O79" t="n">
        <v>4</v>
      </c>
      <c r="P79" t="inlineStr">
        <is>
          <t>P95高位;Z≥2异常;连续上涨≥3周</t>
        </is>
      </c>
      <c r="Q79" t="inlineStr">
        <is>
          <t>红色预警</t>
        </is>
      </c>
      <c r="R79" t="inlineStr">
        <is>
          <t>来自现有SCFI真实/公开线索与演示补全长表；C_demo_interpolation不作真实事实声明</t>
        </is>
      </c>
    </row>
    <row r="80">
      <c r="A80" t="inlineStr">
        <is>
          <t>2025-11-28</t>
        </is>
      </c>
      <c r="B80" t="inlineStr">
        <is>
          <t>美东航线</t>
        </is>
      </c>
      <c r="C80" t="n">
        <v>2428</v>
      </c>
      <c r="D80" t="inlineStr">
        <is>
          <t>USD/FEU</t>
        </is>
      </c>
      <c r="E80" t="inlineStr">
        <is>
          <t>B_public_excerpt</t>
        </is>
      </c>
      <c r="F80" t="n">
        <v>2707.44</v>
      </c>
      <c r="G80" t="n">
        <v>2964.38</v>
      </c>
      <c r="H80" t="n">
        <v>3468.33</v>
      </c>
      <c r="I80" t="n">
        <v>3610.75</v>
      </c>
      <c r="J80" t="n">
        <v>3751.5</v>
      </c>
      <c r="K80" t="n">
        <v>4121</v>
      </c>
      <c r="L80" t="n">
        <v>4290.75</v>
      </c>
      <c r="N80" t="n">
        <v>-1.27</v>
      </c>
      <c r="O80" t="n">
        <v>0</v>
      </c>
      <c r="P80" t="inlineStr">
        <is>
          <t>无</t>
        </is>
      </c>
      <c r="Q80" t="inlineStr">
        <is>
          <t>正常</t>
        </is>
      </c>
      <c r="R80" t="inlineStr">
        <is>
          <t>来自现有SCFI真实/公开线索与演示补全长表；C_demo_interpolation不作真实事实声明</t>
        </is>
      </c>
    </row>
    <row r="81">
      <c r="A81" t="inlineStr">
        <is>
          <t>2025-12-05</t>
        </is>
      </c>
      <c r="B81" t="inlineStr">
        <is>
          <t>美东航线</t>
        </is>
      </c>
      <c r="C81" t="n">
        <v>2315</v>
      </c>
      <c r="D81" t="inlineStr">
        <is>
          <t>USD/FEU</t>
        </is>
      </c>
      <c r="E81" t="inlineStr">
        <is>
          <t>B_public_excerpt</t>
        </is>
      </c>
      <c r="F81" t="n">
        <v>2707.44</v>
      </c>
      <c r="G81" t="n">
        <v>2964.38</v>
      </c>
      <c r="H81" t="n">
        <v>3468.33</v>
      </c>
      <c r="I81" t="n">
        <v>3610.75</v>
      </c>
      <c r="J81" t="n">
        <v>3751.5</v>
      </c>
      <c r="K81" t="n">
        <v>4121</v>
      </c>
      <c r="L81" t="n">
        <v>4290.75</v>
      </c>
      <c r="M81" t="n">
        <v>-4.65</v>
      </c>
      <c r="N81" t="n">
        <v>-1.49</v>
      </c>
      <c r="O81" t="n">
        <v>0</v>
      </c>
      <c r="P81" t="inlineStr">
        <is>
          <t>无</t>
        </is>
      </c>
      <c r="Q81" t="inlineStr">
        <is>
          <t>正常</t>
        </is>
      </c>
      <c r="R81" t="inlineStr">
        <is>
          <t>来自现有SCFI真实/公开线索与演示补全长表；C_demo_interpolation不作真实事实声明</t>
        </is>
      </c>
    </row>
    <row r="82">
      <c r="A82" t="inlineStr">
        <is>
          <t>2025-12-12</t>
        </is>
      </c>
      <c r="B82" t="inlineStr">
        <is>
          <t>美东航线</t>
        </is>
      </c>
      <c r="C82" t="n">
        <v>2580.5</v>
      </c>
      <c r="D82" t="inlineStr">
        <is>
          <t>USD/FEU</t>
        </is>
      </c>
      <c r="E82" t="inlineStr">
        <is>
          <t>C_demo_interpolation</t>
        </is>
      </c>
      <c r="F82" t="n">
        <v>2707.44</v>
      </c>
      <c r="G82" t="n">
        <v>2964.38</v>
      </c>
      <c r="H82" t="n">
        <v>3468.33</v>
      </c>
      <c r="I82" t="n">
        <v>3610.75</v>
      </c>
      <c r="J82" t="n">
        <v>3751.5</v>
      </c>
      <c r="K82" t="n">
        <v>4121</v>
      </c>
      <c r="L82" t="n">
        <v>4290.75</v>
      </c>
      <c r="M82" t="n">
        <v>11.47</v>
      </c>
      <c r="N82" t="n">
        <v>-0.98</v>
      </c>
      <c r="O82" t="n">
        <v>1</v>
      </c>
      <c r="P82" t="inlineStr">
        <is>
          <t>周涨幅≥10%</t>
        </is>
      </c>
      <c r="Q82" t="inlineStr">
        <is>
          <t>黄色关注</t>
        </is>
      </c>
      <c r="R82" t="inlineStr">
        <is>
          <t>来自现有SCFI真实/公开线索与演示补全长表；C_demo_interpolation不作真实事实声明</t>
        </is>
      </c>
    </row>
    <row r="83">
      <c r="A83" t="inlineStr">
        <is>
          <t>2025-12-19</t>
        </is>
      </c>
      <c r="B83" t="inlineStr">
        <is>
          <t>美东航线</t>
        </is>
      </c>
      <c r="C83" t="n">
        <v>2846</v>
      </c>
      <c r="D83" t="inlineStr">
        <is>
          <t>USD/FEU</t>
        </is>
      </c>
      <c r="E83" t="inlineStr">
        <is>
          <t>B_public_excerpt</t>
        </is>
      </c>
      <c r="F83" t="n">
        <v>2707.44</v>
      </c>
      <c r="G83" t="n">
        <v>2964.38</v>
      </c>
      <c r="H83" t="n">
        <v>3468.33</v>
      </c>
      <c r="I83" t="n">
        <v>3610.75</v>
      </c>
      <c r="J83" t="n">
        <v>3751.5</v>
      </c>
      <c r="K83" t="n">
        <v>4121</v>
      </c>
      <c r="L83" t="n">
        <v>4290.75</v>
      </c>
      <c r="M83" t="n">
        <v>10.29</v>
      </c>
      <c r="N83" t="n">
        <v>-0.47</v>
      </c>
      <c r="O83" t="n">
        <v>2</v>
      </c>
      <c r="P83" t="inlineStr">
        <is>
          <t>周涨幅≥10%</t>
        </is>
      </c>
      <c r="Q83" t="inlineStr">
        <is>
          <t>黄色关注</t>
        </is>
      </c>
      <c r="R83" t="inlineStr">
        <is>
          <t>来自现有SCFI真实/公开线索与演示补全长表；C_demo_interpolation不作真实事实声明</t>
        </is>
      </c>
    </row>
    <row r="84">
      <c r="A84" t="inlineStr">
        <is>
          <t>2025-12-26</t>
        </is>
      </c>
      <c r="B84" t="inlineStr">
        <is>
          <t>美东航线</t>
        </is>
      </c>
      <c r="C84" t="n">
        <v>3033</v>
      </c>
      <c r="D84" t="inlineStr">
        <is>
          <t>USD/FEU</t>
        </is>
      </c>
      <c r="E84" t="inlineStr">
        <is>
          <t>B_public_excerpt</t>
        </is>
      </c>
      <c r="F84" t="n">
        <v>2707.44</v>
      </c>
      <c r="G84" t="n">
        <v>2964.38</v>
      </c>
      <c r="H84" t="n">
        <v>3468.33</v>
      </c>
      <c r="I84" t="n">
        <v>3610.75</v>
      </c>
      <c r="J84" t="n">
        <v>3751.5</v>
      </c>
      <c r="K84" t="n">
        <v>4121</v>
      </c>
      <c r="L84" t="n">
        <v>4290.75</v>
      </c>
      <c r="M84" t="n">
        <v>6.57</v>
      </c>
      <c r="N84" t="n">
        <v>-0.11</v>
      </c>
      <c r="O84" t="n">
        <v>3</v>
      </c>
      <c r="P84" t="inlineStr">
        <is>
          <t>连续上涨≥3周</t>
        </is>
      </c>
      <c r="Q84" t="inlineStr">
        <is>
          <t>黄色关注</t>
        </is>
      </c>
      <c r="R84" t="inlineStr">
        <is>
          <t>来自现有SCFI真实/公开线索与演示补全长表；C_demo_interpolation不作真实事实声明</t>
        </is>
      </c>
    </row>
    <row r="85">
      <c r="A85" t="inlineStr">
        <is>
          <t>2026-01-02</t>
        </is>
      </c>
      <c r="B85" t="inlineStr">
        <is>
          <t>美东航线</t>
        </is>
      </c>
      <c r="C85" t="n">
        <v>2998.75</v>
      </c>
      <c r="D85" t="inlineStr">
        <is>
          <t>USD/FEU</t>
        </is>
      </c>
      <c r="E85" t="inlineStr">
        <is>
          <t>C_demo_interpolation</t>
        </is>
      </c>
      <c r="F85" t="n">
        <v>2707.44</v>
      </c>
      <c r="G85" t="n">
        <v>2964.38</v>
      </c>
      <c r="H85" t="n">
        <v>3468.33</v>
      </c>
      <c r="I85" t="n">
        <v>3610.75</v>
      </c>
      <c r="J85" t="n">
        <v>3751.5</v>
      </c>
      <c r="K85" t="n">
        <v>4121</v>
      </c>
      <c r="L85" t="n">
        <v>4290.75</v>
      </c>
      <c r="M85" t="n">
        <v>-1.13</v>
      </c>
      <c r="N85" t="n">
        <v>-0.17</v>
      </c>
      <c r="O85" t="n">
        <v>0</v>
      </c>
      <c r="P85" t="inlineStr">
        <is>
          <t>无</t>
        </is>
      </c>
      <c r="Q85" t="inlineStr">
        <is>
          <t>正常</t>
        </is>
      </c>
      <c r="R85" t="inlineStr">
        <is>
          <t>来自现有SCFI真实/公开线索与演示补全长表；C_demo_interpolation不作真实事实声明</t>
        </is>
      </c>
    </row>
    <row r="86">
      <c r="A86" t="inlineStr">
        <is>
          <t>2026-01-09</t>
        </is>
      </c>
      <c r="B86" t="inlineStr">
        <is>
          <t>美东航线</t>
        </is>
      </c>
      <c r="C86" t="n">
        <v>2964.5</v>
      </c>
      <c r="D86" t="inlineStr">
        <is>
          <t>USD/FEU</t>
        </is>
      </c>
      <c r="E86" t="inlineStr">
        <is>
          <t>C_demo_interpolation</t>
        </is>
      </c>
      <c r="F86" t="n">
        <v>2707.44</v>
      </c>
      <c r="G86" t="n">
        <v>2964.38</v>
      </c>
      <c r="H86" t="n">
        <v>3468.33</v>
      </c>
      <c r="I86" t="n">
        <v>3610.75</v>
      </c>
      <c r="J86" t="n">
        <v>3751.5</v>
      </c>
      <c r="K86" t="n">
        <v>4121</v>
      </c>
      <c r="L86" t="n">
        <v>4290.75</v>
      </c>
      <c r="M86" t="n">
        <v>-1.14</v>
      </c>
      <c r="N86" t="n">
        <v>-0.24</v>
      </c>
      <c r="O86" t="n">
        <v>0</v>
      </c>
      <c r="P86" t="inlineStr">
        <is>
          <t>无</t>
        </is>
      </c>
      <c r="Q86" t="inlineStr">
        <is>
          <t>正常</t>
        </is>
      </c>
      <c r="R86" t="inlineStr">
        <is>
          <t>来自现有SCFI真实/公开线索与演示补全长表；C_demo_interpolation不作真实事实声明</t>
        </is>
      </c>
    </row>
    <row r="87">
      <c r="A87" t="inlineStr">
        <is>
          <t>2026-01-16</t>
        </is>
      </c>
      <c r="B87" t="inlineStr">
        <is>
          <t>美东航线</t>
        </is>
      </c>
      <c r="C87" t="n">
        <v>2930.25</v>
      </c>
      <c r="D87" t="inlineStr">
        <is>
          <t>USD/FEU</t>
        </is>
      </c>
      <c r="E87" t="inlineStr">
        <is>
          <t>C_demo_interpolation</t>
        </is>
      </c>
      <c r="F87" t="n">
        <v>2707.44</v>
      </c>
      <c r="G87" t="n">
        <v>2964.38</v>
      </c>
      <c r="H87" t="n">
        <v>3468.33</v>
      </c>
      <c r="I87" t="n">
        <v>3610.75</v>
      </c>
      <c r="J87" t="n">
        <v>3751.5</v>
      </c>
      <c r="K87" t="n">
        <v>4121</v>
      </c>
      <c r="L87" t="n">
        <v>4290.75</v>
      </c>
      <c r="M87" t="n">
        <v>-1.16</v>
      </c>
      <c r="N87" t="n">
        <v>-0.3</v>
      </c>
      <c r="O87" t="n">
        <v>0</v>
      </c>
      <c r="P87" t="inlineStr">
        <is>
          <t>无</t>
        </is>
      </c>
      <c r="Q87" t="inlineStr">
        <is>
          <t>正常</t>
        </is>
      </c>
      <c r="R87" t="inlineStr">
        <is>
          <t>来自现有SCFI真实/公开线索与演示补全长表；C_demo_interpolation不作真实事实声明</t>
        </is>
      </c>
    </row>
    <row r="88">
      <c r="A88" t="inlineStr">
        <is>
          <t>2026-01-23</t>
        </is>
      </c>
      <c r="B88" t="inlineStr">
        <is>
          <t>美东航线</t>
        </is>
      </c>
      <c r="C88" t="n">
        <v>2896</v>
      </c>
      <c r="D88" t="inlineStr">
        <is>
          <t>USD/FEU</t>
        </is>
      </c>
      <c r="E88" t="inlineStr">
        <is>
          <t>B_public_excerpt</t>
        </is>
      </c>
      <c r="F88" t="n">
        <v>2707.44</v>
      </c>
      <c r="G88" t="n">
        <v>2964.38</v>
      </c>
      <c r="H88" t="n">
        <v>3468.33</v>
      </c>
      <c r="I88" t="n">
        <v>3610.75</v>
      </c>
      <c r="J88" t="n">
        <v>3751.5</v>
      </c>
      <c r="K88" t="n">
        <v>4121</v>
      </c>
      <c r="L88" t="n">
        <v>4290.75</v>
      </c>
      <c r="M88" t="n">
        <v>-1.17</v>
      </c>
      <c r="N88" t="n">
        <v>-0.37</v>
      </c>
      <c r="O88" t="n">
        <v>0</v>
      </c>
      <c r="P88" t="inlineStr">
        <is>
          <t>无</t>
        </is>
      </c>
      <c r="Q88" t="inlineStr">
        <is>
          <t>正常</t>
        </is>
      </c>
      <c r="R88" t="inlineStr">
        <is>
          <t>来自现有SCFI真实/公开线索与演示补全长表；C_demo_interpolation不作真实事实声明</t>
        </is>
      </c>
    </row>
    <row r="89">
      <c r="A89" t="inlineStr">
        <is>
          <t>2026-01-30</t>
        </is>
      </c>
      <c r="B89" t="inlineStr">
        <is>
          <t>美东航线</t>
        </is>
      </c>
      <c r="C89" t="n">
        <v>2605</v>
      </c>
      <c r="D89" t="inlineStr">
        <is>
          <t>USD/FEU</t>
        </is>
      </c>
      <c r="E89" t="inlineStr">
        <is>
          <t>B_public_excerpt</t>
        </is>
      </c>
      <c r="F89" t="n">
        <v>2707.44</v>
      </c>
      <c r="G89" t="n">
        <v>2964.38</v>
      </c>
      <c r="H89" t="n">
        <v>3468.33</v>
      </c>
      <c r="I89" t="n">
        <v>3610.75</v>
      </c>
      <c r="J89" t="n">
        <v>3751.5</v>
      </c>
      <c r="K89" t="n">
        <v>4121</v>
      </c>
      <c r="L89" t="n">
        <v>4290.75</v>
      </c>
      <c r="M89" t="n">
        <v>-10.05</v>
      </c>
      <c r="N89" t="n">
        <v>-0.93</v>
      </c>
      <c r="O89" t="n">
        <v>0</v>
      </c>
      <c r="P89" t="inlineStr">
        <is>
          <t>无</t>
        </is>
      </c>
      <c r="Q89" t="inlineStr">
        <is>
          <t>正常</t>
        </is>
      </c>
      <c r="R89" t="inlineStr">
        <is>
          <t>来自现有SCFI真实/公开线索与演示补全长表；C_demo_interpolation不作真实事实声明</t>
        </is>
      </c>
    </row>
    <row r="90">
      <c r="A90" t="inlineStr">
        <is>
          <t>2026-02-06</t>
        </is>
      </c>
      <c r="B90" t="inlineStr">
        <is>
          <t>美东航线</t>
        </is>
      </c>
      <c r="C90" t="n">
        <v>2530</v>
      </c>
      <c r="D90" t="inlineStr">
        <is>
          <t>USD/FEU</t>
        </is>
      </c>
      <c r="E90" t="inlineStr">
        <is>
          <t>B_public_excerpt</t>
        </is>
      </c>
      <c r="F90" t="n">
        <v>2707.44</v>
      </c>
      <c r="G90" t="n">
        <v>2964.38</v>
      </c>
      <c r="H90" t="n">
        <v>3468.33</v>
      </c>
      <c r="I90" t="n">
        <v>3610.75</v>
      </c>
      <c r="J90" t="n">
        <v>3751.5</v>
      </c>
      <c r="K90" t="n">
        <v>4121</v>
      </c>
      <c r="L90" t="n">
        <v>4290.75</v>
      </c>
      <c r="M90" t="n">
        <v>-2.88</v>
      </c>
      <c r="N90" t="n">
        <v>-1.08</v>
      </c>
      <c r="O90" t="n">
        <v>0</v>
      </c>
      <c r="P90" t="inlineStr">
        <is>
          <t>无</t>
        </is>
      </c>
      <c r="Q90" t="inlineStr">
        <is>
          <t>正常</t>
        </is>
      </c>
      <c r="R90" t="inlineStr">
        <is>
          <t>来自现有SCFI真实/公开线索与演示补全长表；C_demo_interpolation不作真实事实声明</t>
        </is>
      </c>
    </row>
    <row r="91">
      <c r="A91" t="inlineStr">
        <is>
          <t>2026-02-13</t>
        </is>
      </c>
      <c r="B91" t="inlineStr">
        <is>
          <t>美东航线</t>
        </is>
      </c>
      <c r="C91" t="n">
        <v>2524</v>
      </c>
      <c r="D91" t="inlineStr">
        <is>
          <t>USD/FEU</t>
        </is>
      </c>
      <c r="E91" t="inlineStr">
        <is>
          <t>B_public_excerpt</t>
        </is>
      </c>
      <c r="F91" t="n">
        <v>2707.44</v>
      </c>
      <c r="G91" t="n">
        <v>2964.38</v>
      </c>
      <c r="H91" t="n">
        <v>3468.33</v>
      </c>
      <c r="I91" t="n">
        <v>3610.75</v>
      </c>
      <c r="J91" t="n">
        <v>3751.5</v>
      </c>
      <c r="K91" t="n">
        <v>4121</v>
      </c>
      <c r="L91" t="n">
        <v>4290.75</v>
      </c>
      <c r="M91" t="n">
        <v>-0.24</v>
      </c>
      <c r="N91" t="n">
        <v>-1.09</v>
      </c>
      <c r="O91" t="n">
        <v>0</v>
      </c>
      <c r="P91" t="inlineStr">
        <is>
          <t>无</t>
        </is>
      </c>
      <c r="Q91" t="inlineStr">
        <is>
          <t>正常</t>
        </is>
      </c>
      <c r="R91" t="inlineStr">
        <is>
          <t>来自现有SCFI真实/公开线索与演示补全长表；C_demo_interpolation不作真实事实声明</t>
        </is>
      </c>
    </row>
    <row r="92">
      <c r="A92" t="inlineStr">
        <is>
          <t>2026-02-20</t>
        </is>
      </c>
      <c r="B92" t="inlineStr">
        <is>
          <t>美东航线</t>
        </is>
      </c>
      <c r="C92" t="n">
        <v>2670.75</v>
      </c>
      <c r="D92" t="inlineStr">
        <is>
          <t>USD/FEU</t>
        </is>
      </c>
      <c r="E92" t="inlineStr">
        <is>
          <t>C_demo_interpolation</t>
        </is>
      </c>
      <c r="F92" t="n">
        <v>2707.44</v>
      </c>
      <c r="G92" t="n">
        <v>2964.38</v>
      </c>
      <c r="H92" t="n">
        <v>3468.33</v>
      </c>
      <c r="I92" t="n">
        <v>3610.75</v>
      </c>
      <c r="J92" t="n">
        <v>3751.5</v>
      </c>
      <c r="K92" t="n">
        <v>4121</v>
      </c>
      <c r="L92" t="n">
        <v>4290.75</v>
      </c>
      <c r="M92" t="n">
        <v>5.81</v>
      </c>
      <c r="N92" t="n">
        <v>-0.8</v>
      </c>
      <c r="O92" t="n">
        <v>1</v>
      </c>
      <c r="P92" t="inlineStr">
        <is>
          <t>无</t>
        </is>
      </c>
      <c r="Q92" t="inlineStr">
        <is>
          <t>正常</t>
        </is>
      </c>
      <c r="R92" t="inlineStr">
        <is>
          <t>来自现有SCFI真实/公开线索与演示补全长表；C_demo_interpolation不作真实事实声明</t>
        </is>
      </c>
    </row>
    <row r="93">
      <c r="A93" t="inlineStr">
        <is>
          <t>2026-02-27</t>
        </is>
      </c>
      <c r="B93" t="inlineStr">
        <is>
          <t>美东航线</t>
        </is>
      </c>
      <c r="C93" t="n">
        <v>2817.5</v>
      </c>
      <c r="D93" t="inlineStr">
        <is>
          <t>USD/FEU</t>
        </is>
      </c>
      <c r="E93" t="inlineStr">
        <is>
          <t>C_demo_interpolation</t>
        </is>
      </c>
      <c r="F93" t="n">
        <v>2707.44</v>
      </c>
      <c r="G93" t="n">
        <v>2964.38</v>
      </c>
      <c r="H93" t="n">
        <v>3468.33</v>
      </c>
      <c r="I93" t="n">
        <v>3610.75</v>
      </c>
      <c r="J93" t="n">
        <v>3751.5</v>
      </c>
      <c r="K93" t="n">
        <v>4121</v>
      </c>
      <c r="L93" t="n">
        <v>4290.75</v>
      </c>
      <c r="M93" t="n">
        <v>5.49</v>
      </c>
      <c r="N93" t="n">
        <v>-0.52</v>
      </c>
      <c r="O93" t="n">
        <v>2</v>
      </c>
      <c r="P93" t="inlineStr">
        <is>
          <t>无</t>
        </is>
      </c>
      <c r="Q93" t="inlineStr">
        <is>
          <t>正常</t>
        </is>
      </c>
      <c r="R93" t="inlineStr">
        <is>
          <t>来自现有SCFI真实/公开线索与演示补全长表；C_demo_interpolation不作真实事实声明</t>
        </is>
      </c>
    </row>
    <row r="94">
      <c r="A94" t="inlineStr">
        <is>
          <t>2026-03-06</t>
        </is>
      </c>
      <c r="B94" t="inlineStr">
        <is>
          <t>美东航线</t>
        </is>
      </c>
      <c r="C94" t="n">
        <v>2964.25</v>
      </c>
      <c r="D94" t="inlineStr">
        <is>
          <t>USD/FEU</t>
        </is>
      </c>
      <c r="E94" t="inlineStr">
        <is>
          <t>C_demo_interpolation</t>
        </is>
      </c>
      <c r="F94" t="n">
        <v>2707.44</v>
      </c>
      <c r="G94" t="n">
        <v>2964.38</v>
      </c>
      <c r="H94" t="n">
        <v>3468.33</v>
      </c>
      <c r="I94" t="n">
        <v>3610.75</v>
      </c>
      <c r="J94" t="n">
        <v>3751.5</v>
      </c>
      <c r="K94" t="n">
        <v>4121</v>
      </c>
      <c r="L94" t="n">
        <v>4290.75</v>
      </c>
      <c r="M94" t="n">
        <v>5.21</v>
      </c>
      <c r="N94" t="n">
        <v>-0.24</v>
      </c>
      <c r="O94" t="n">
        <v>3</v>
      </c>
      <c r="P94" t="inlineStr">
        <is>
          <t>连续上涨≥3周</t>
        </is>
      </c>
      <c r="Q94" t="inlineStr">
        <is>
          <t>黄色关注</t>
        </is>
      </c>
      <c r="R94" t="inlineStr">
        <is>
          <t>来自现有SCFI真实/公开线索与演示补全长表；C_demo_interpolation不作真实事实声明</t>
        </is>
      </c>
    </row>
    <row r="95">
      <c r="A95" t="inlineStr">
        <is>
          <t>2026-03-13</t>
        </is>
      </c>
      <c r="B95" t="inlineStr">
        <is>
          <t>美东航线</t>
        </is>
      </c>
      <c r="C95" t="n">
        <v>3111</v>
      </c>
      <c r="D95" t="inlineStr">
        <is>
          <t>USD/FEU</t>
        </is>
      </c>
      <c r="E95" t="inlineStr">
        <is>
          <t>B_public_excerpt</t>
        </is>
      </c>
      <c r="F95" t="n">
        <v>2707.44</v>
      </c>
      <c r="G95" t="n">
        <v>2964.38</v>
      </c>
      <c r="H95" t="n">
        <v>3468.33</v>
      </c>
      <c r="I95" t="n">
        <v>3610.75</v>
      </c>
      <c r="J95" t="n">
        <v>3751.5</v>
      </c>
      <c r="K95" t="n">
        <v>4121</v>
      </c>
      <c r="L95" t="n">
        <v>4290.75</v>
      </c>
      <c r="M95" t="n">
        <v>4.95</v>
      </c>
      <c r="N95" t="n">
        <v>0.04</v>
      </c>
      <c r="O95" t="n">
        <v>4</v>
      </c>
      <c r="P95" t="inlineStr">
        <is>
          <t>连续上涨≥3周</t>
        </is>
      </c>
      <c r="Q95" t="inlineStr">
        <is>
          <t>黄色关注</t>
        </is>
      </c>
      <c r="R95" t="inlineStr">
        <is>
          <t>来自现有SCFI真实/公开线索与演示补全长表；C_demo_interpolation不作真实事实声明</t>
        </is>
      </c>
    </row>
    <row r="96">
      <c r="A96" t="inlineStr">
        <is>
          <t>2026-03-20</t>
        </is>
      </c>
      <c r="B96" t="inlineStr">
        <is>
          <t>美东航线</t>
        </is>
      </c>
      <c r="C96" t="n">
        <v>2922</v>
      </c>
      <c r="D96" t="inlineStr">
        <is>
          <t>USD/FEU</t>
        </is>
      </c>
      <c r="E96" t="inlineStr">
        <is>
          <t>B_public_excerpt</t>
        </is>
      </c>
      <c r="F96" t="n">
        <v>2707.44</v>
      </c>
      <c r="G96" t="n">
        <v>2964.38</v>
      </c>
      <c r="H96" t="n">
        <v>3468.33</v>
      </c>
      <c r="I96" t="n">
        <v>3610.75</v>
      </c>
      <c r="J96" t="n">
        <v>3751.5</v>
      </c>
      <c r="K96" t="n">
        <v>4121</v>
      </c>
      <c r="L96" t="n">
        <v>4290.75</v>
      </c>
      <c r="M96" t="n">
        <v>-6.08</v>
      </c>
      <c r="N96" t="n">
        <v>-0.32</v>
      </c>
      <c r="O96" t="n">
        <v>0</v>
      </c>
      <c r="P96" t="inlineStr">
        <is>
          <t>无</t>
        </is>
      </c>
      <c r="Q96" t="inlineStr">
        <is>
          <t>正常</t>
        </is>
      </c>
      <c r="R96" t="inlineStr">
        <is>
          <t>来自现有SCFI真实/公开线索与演示补全长表；C_demo_interpolation不作真实事实声明</t>
        </is>
      </c>
    </row>
    <row r="97">
      <c r="A97" t="inlineStr">
        <is>
          <t>2026-03-27</t>
        </is>
      </c>
      <c r="B97" t="inlineStr">
        <is>
          <t>美东航线</t>
        </is>
      </c>
      <c r="C97" t="n">
        <v>3120.67</v>
      </c>
      <c r="D97" t="inlineStr">
        <is>
          <t>USD/FEU</t>
        </is>
      </c>
      <c r="E97" t="inlineStr">
        <is>
          <t>C_demo_interpolation</t>
        </is>
      </c>
      <c r="F97" t="n">
        <v>2707.44</v>
      </c>
      <c r="G97" t="n">
        <v>2964.38</v>
      </c>
      <c r="H97" t="n">
        <v>3468.33</v>
      </c>
      <c r="I97" t="n">
        <v>3610.75</v>
      </c>
      <c r="J97" t="n">
        <v>3751.5</v>
      </c>
      <c r="K97" t="n">
        <v>4121</v>
      </c>
      <c r="L97" t="n">
        <v>4290.75</v>
      </c>
      <c r="M97" t="n">
        <v>6.8</v>
      </c>
      <c r="N97" t="n">
        <v>0.06</v>
      </c>
      <c r="O97" t="n">
        <v>1</v>
      </c>
      <c r="P97" t="inlineStr">
        <is>
          <t>无</t>
        </is>
      </c>
      <c r="Q97" t="inlineStr">
        <is>
          <t>正常</t>
        </is>
      </c>
      <c r="R97" t="inlineStr">
        <is>
          <t>来自现有SCFI真实/公开线索与演示补全长表；C_demo_interpolation不作真实事实声明</t>
        </is>
      </c>
    </row>
    <row r="98">
      <c r="A98" t="inlineStr">
        <is>
          <t>2026-04-03</t>
        </is>
      </c>
      <c r="B98" t="inlineStr">
        <is>
          <t>美东航线</t>
        </is>
      </c>
      <c r="C98" t="n">
        <v>3319.33</v>
      </c>
      <c r="D98" t="inlineStr">
        <is>
          <t>USD/FEU</t>
        </is>
      </c>
      <c r="E98" t="inlineStr">
        <is>
          <t>C_demo_interpolation</t>
        </is>
      </c>
      <c r="F98" t="n">
        <v>2707.44</v>
      </c>
      <c r="G98" t="n">
        <v>2964.38</v>
      </c>
      <c r="H98" t="n">
        <v>3468.33</v>
      </c>
      <c r="I98" t="n">
        <v>3610.75</v>
      </c>
      <c r="J98" t="n">
        <v>3751.5</v>
      </c>
      <c r="K98" t="n">
        <v>4121</v>
      </c>
      <c r="L98" t="n">
        <v>4290.75</v>
      </c>
      <c r="M98" t="n">
        <v>6.37</v>
      </c>
      <c r="N98" t="n">
        <v>0.45</v>
      </c>
      <c r="O98" t="n">
        <v>2</v>
      </c>
      <c r="P98" t="inlineStr">
        <is>
          <t>无</t>
        </is>
      </c>
      <c r="Q98" t="inlineStr">
        <is>
          <t>正常</t>
        </is>
      </c>
      <c r="R98" t="inlineStr">
        <is>
          <t>来自现有SCFI真实/公开线索与演示补全长表；C_demo_interpolation不作真实事实声明</t>
        </is>
      </c>
    </row>
    <row r="99">
      <c r="A99" t="inlineStr">
        <is>
          <t>2026-04-10</t>
        </is>
      </c>
      <c r="B99" t="inlineStr">
        <is>
          <t>美东航线</t>
        </is>
      </c>
      <c r="C99" t="n">
        <v>3518</v>
      </c>
      <c r="D99" t="inlineStr">
        <is>
          <t>USD/FEU</t>
        </is>
      </c>
      <c r="E99" t="inlineStr">
        <is>
          <t>B_public_excerpt</t>
        </is>
      </c>
      <c r="F99" t="n">
        <v>2707.44</v>
      </c>
      <c r="G99" t="n">
        <v>2964.38</v>
      </c>
      <c r="H99" t="n">
        <v>3468.33</v>
      </c>
      <c r="I99" t="n">
        <v>3610.75</v>
      </c>
      <c r="J99" t="n">
        <v>3751.5</v>
      </c>
      <c r="K99" t="n">
        <v>4121</v>
      </c>
      <c r="L99" t="n">
        <v>4290.75</v>
      </c>
      <c r="M99" t="n">
        <v>5.99</v>
      </c>
      <c r="N99" t="n">
        <v>0.83</v>
      </c>
      <c r="O99" t="n">
        <v>3</v>
      </c>
      <c r="P99" t="inlineStr">
        <is>
          <t>连续上涨≥3周</t>
        </is>
      </c>
      <c r="Q99" t="inlineStr">
        <is>
          <t>黄色关注</t>
        </is>
      </c>
      <c r="R99" t="inlineStr">
        <is>
          <t>来自现有SCFI真实/公开线索与演示补全长表；C_demo_interpolation不作真实事实声明</t>
        </is>
      </c>
    </row>
    <row r="100">
      <c r="A100" t="inlineStr">
        <is>
          <t>2026-04-17</t>
        </is>
      </c>
      <c r="B100" t="inlineStr">
        <is>
          <t>美东航线</t>
        </is>
      </c>
      <c r="C100" t="n">
        <v>3584</v>
      </c>
      <c r="D100" t="inlineStr">
        <is>
          <t>USD/FEU</t>
        </is>
      </c>
      <c r="E100" t="inlineStr">
        <is>
          <t>B_public_excerpt</t>
        </is>
      </c>
      <c r="F100" t="n">
        <v>2707.44</v>
      </c>
      <c r="G100" t="n">
        <v>2964.38</v>
      </c>
      <c r="H100" t="n">
        <v>3468.33</v>
      </c>
      <c r="I100" t="n">
        <v>3610.75</v>
      </c>
      <c r="J100" t="n">
        <v>3751.5</v>
      </c>
      <c r="K100" t="n">
        <v>4121</v>
      </c>
      <c r="L100" t="n">
        <v>4290.75</v>
      </c>
      <c r="M100" t="n">
        <v>1.88</v>
      </c>
      <c r="N100" t="n">
        <v>0.96</v>
      </c>
      <c r="O100" t="n">
        <v>4</v>
      </c>
      <c r="P100" t="inlineStr">
        <is>
          <t>连续上涨≥3周</t>
        </is>
      </c>
      <c r="Q100" t="inlineStr">
        <is>
          <t>黄色关注</t>
        </is>
      </c>
      <c r="R100" t="inlineStr">
        <is>
          <t>来自现有SCFI真实/公开线索与演示补全长表；C_demo_interpolation不作真实事实声明</t>
        </is>
      </c>
    </row>
    <row r="101">
      <c r="A101" t="inlineStr">
        <is>
          <t>2026-04-24</t>
        </is>
      </c>
      <c r="B101" t="inlineStr">
        <is>
          <t>美东航线</t>
        </is>
      </c>
      <c r="C101" t="n">
        <v>3570</v>
      </c>
      <c r="D101" t="inlineStr">
        <is>
          <t>USD/FEU</t>
        </is>
      </c>
      <c r="E101" t="inlineStr">
        <is>
          <t>B_public_excerpt</t>
        </is>
      </c>
      <c r="F101" t="n">
        <v>2707.44</v>
      </c>
      <c r="G101" t="n">
        <v>2964.38</v>
      </c>
      <c r="H101" t="n">
        <v>3468.33</v>
      </c>
      <c r="I101" t="n">
        <v>3610.75</v>
      </c>
      <c r="J101" t="n">
        <v>3751.5</v>
      </c>
      <c r="K101" t="n">
        <v>4121</v>
      </c>
      <c r="L101" t="n">
        <v>4290.75</v>
      </c>
      <c r="M101" t="n">
        <v>-0.39</v>
      </c>
      <c r="N101" t="n">
        <v>0.93</v>
      </c>
      <c r="O101" t="n">
        <v>0</v>
      </c>
      <c r="P101" t="inlineStr">
        <is>
          <t>无</t>
        </is>
      </c>
      <c r="Q101" t="inlineStr">
        <is>
          <t>正常</t>
        </is>
      </c>
      <c r="R101" t="inlineStr">
        <is>
          <t>来自现有SCFI真实/公开线索与演示补全长表；C_demo_interpolation不作真实事实声明</t>
        </is>
      </c>
    </row>
    <row r="102">
      <c r="A102" t="inlineStr">
        <is>
          <t>2026-05-01</t>
        </is>
      </c>
      <c r="B102" t="inlineStr">
        <is>
          <t>美东航线</t>
        </is>
      </c>
      <c r="C102" t="n">
        <v>3691</v>
      </c>
      <c r="D102" t="inlineStr">
        <is>
          <t>USD/FEU</t>
        </is>
      </c>
      <c r="E102" t="inlineStr">
        <is>
          <t>C_demo_interpolation</t>
        </is>
      </c>
      <c r="F102" t="n">
        <v>2707.44</v>
      </c>
      <c r="G102" t="n">
        <v>2964.38</v>
      </c>
      <c r="H102" t="n">
        <v>3468.33</v>
      </c>
      <c r="I102" t="n">
        <v>3610.75</v>
      </c>
      <c r="J102" t="n">
        <v>3751.5</v>
      </c>
      <c r="K102" t="n">
        <v>4121</v>
      </c>
      <c r="L102" t="n">
        <v>4290.75</v>
      </c>
      <c r="M102" t="n">
        <v>3.39</v>
      </c>
      <c r="N102" t="n">
        <v>1.16</v>
      </c>
      <c r="O102" t="n">
        <v>1</v>
      </c>
      <c r="P102" t="inlineStr">
        <is>
          <t>P85关注</t>
        </is>
      </c>
      <c r="Q102" t="inlineStr">
        <is>
          <t>黄色关注</t>
        </is>
      </c>
      <c r="R102" t="inlineStr">
        <is>
          <t>来自现有SCFI真实/公开线索与演示补全长表；C_demo_interpolation不作真实事实声明</t>
        </is>
      </c>
    </row>
    <row r="103">
      <c r="A103" t="inlineStr">
        <is>
          <t>2026-05-08</t>
        </is>
      </c>
      <c r="B103" t="inlineStr">
        <is>
          <t>美东航线</t>
        </is>
      </c>
      <c r="C103" t="n">
        <v>3812</v>
      </c>
      <c r="D103" t="inlineStr">
        <is>
          <t>USD/FEU</t>
        </is>
      </c>
      <c r="E103" t="inlineStr">
        <is>
          <t>B_public_excerpt</t>
        </is>
      </c>
      <c r="F103" t="n">
        <v>2707.44</v>
      </c>
      <c r="G103" t="n">
        <v>2964.38</v>
      </c>
      <c r="H103" t="n">
        <v>3468.33</v>
      </c>
      <c r="I103" t="n">
        <v>3610.75</v>
      </c>
      <c r="J103" t="n">
        <v>3751.5</v>
      </c>
      <c r="K103" t="n">
        <v>4121</v>
      </c>
      <c r="L103" t="n">
        <v>4290.75</v>
      </c>
      <c r="M103" t="n">
        <v>3.28</v>
      </c>
      <c r="N103" t="n">
        <v>1.4</v>
      </c>
      <c r="O103" t="n">
        <v>2</v>
      </c>
      <c r="P103" t="inlineStr">
        <is>
          <t>P85关注</t>
        </is>
      </c>
      <c r="Q103" t="inlineStr">
        <is>
          <t>黄色关注</t>
        </is>
      </c>
      <c r="R103" t="inlineStr">
        <is>
          <t>来自现有SCFI真实/公开线索与演示补全长表；C_demo_interpolation不作真实事实声明</t>
        </is>
      </c>
    </row>
    <row r="104">
      <c r="A104" t="inlineStr">
        <is>
          <t>2026-05-15</t>
        </is>
      </c>
      <c r="B104" t="inlineStr">
        <is>
          <t>美东航线</t>
        </is>
      </c>
      <c r="C104" t="n">
        <v>4224</v>
      </c>
      <c r="D104" t="inlineStr">
        <is>
          <t>USD/FEU</t>
        </is>
      </c>
      <c r="E104" t="inlineStr">
        <is>
          <t>A_official</t>
        </is>
      </c>
      <c r="F104" t="n">
        <v>2707.44</v>
      </c>
      <c r="G104" t="n">
        <v>2964.38</v>
      </c>
      <c r="H104" t="n">
        <v>3468.33</v>
      </c>
      <c r="I104" t="n">
        <v>3610.75</v>
      </c>
      <c r="J104" t="n">
        <v>3751.5</v>
      </c>
      <c r="K104" t="n">
        <v>4121</v>
      </c>
      <c r="L104" t="n">
        <v>4290.75</v>
      </c>
      <c r="M104" t="n">
        <v>10.81</v>
      </c>
      <c r="N104" t="n">
        <v>2.19</v>
      </c>
      <c r="O104" t="n">
        <v>3</v>
      </c>
      <c r="P104" t="inlineStr">
        <is>
          <t>P95高位;周涨幅≥10%;Z≥2异常;连续上涨≥3周</t>
        </is>
      </c>
      <c r="Q104" t="inlineStr">
        <is>
          <t>红色预警</t>
        </is>
      </c>
      <c r="R104" t="inlineStr">
        <is>
          <t>来自现有SCFI真实/公开线索与演示补全长表；C_demo_interpolation不作真实事实声明</t>
        </is>
      </c>
    </row>
    <row r="105">
      <c r="A105" t="inlineStr">
        <is>
          <t>2026-05-22</t>
        </is>
      </c>
      <c r="B105" t="inlineStr">
        <is>
          <t>美东航线</t>
        </is>
      </c>
      <c r="C105" t="n">
        <v>4313</v>
      </c>
      <c r="D105" t="inlineStr">
        <is>
          <t>USD/FEU</t>
        </is>
      </c>
      <c r="E105" t="inlineStr">
        <is>
          <t>A_official</t>
        </is>
      </c>
      <c r="F105" t="n">
        <v>2707.44</v>
      </c>
      <c r="G105" t="n">
        <v>2964.38</v>
      </c>
      <c r="H105" t="n">
        <v>3468.33</v>
      </c>
      <c r="I105" t="n">
        <v>3610.75</v>
      </c>
      <c r="J105" t="n">
        <v>3751.5</v>
      </c>
      <c r="K105" t="n">
        <v>4121</v>
      </c>
      <c r="L105" t="n">
        <v>4290.75</v>
      </c>
      <c r="M105" t="n">
        <v>2.11</v>
      </c>
      <c r="N105" t="n">
        <v>2.36</v>
      </c>
      <c r="O105" t="n">
        <v>4</v>
      </c>
      <c r="P105" t="inlineStr">
        <is>
          <t>P95高位;Z≥2异常;连续上涨≥3周</t>
        </is>
      </c>
      <c r="Q105" t="inlineStr">
        <is>
          <t>红色预警</t>
        </is>
      </c>
      <c r="R105" t="inlineStr">
        <is>
          <t>来自现有SCFI真实/公开线索与演示补全长表；C_demo_interpolation不作真实事实声明</t>
        </is>
      </c>
    </row>
    <row r="106">
      <c r="A106" t="inlineStr">
        <is>
          <t>2025-11-28</t>
        </is>
      </c>
      <c r="B106" t="inlineStr">
        <is>
          <t>SCFI综合指数</t>
        </is>
      </c>
      <c r="C106" t="n">
        <v>1403.13</v>
      </c>
      <c r="D106" t="inlineStr">
        <is>
          <t>points</t>
        </is>
      </c>
      <c r="E106" t="inlineStr">
        <is>
          <t>B_public_excerpt</t>
        </is>
      </c>
      <c r="F106" t="n">
        <v>1415.49</v>
      </c>
      <c r="G106" t="n">
        <v>1592.02</v>
      </c>
      <c r="H106" t="n">
        <v>1863.82</v>
      </c>
      <c r="I106" t="n">
        <v>1895.93</v>
      </c>
      <c r="J106" t="n">
        <v>1932.8</v>
      </c>
      <c r="K106" t="n">
        <v>2094.05</v>
      </c>
      <c r="L106" t="n">
        <v>2198.78</v>
      </c>
      <c r="N106" t="n">
        <v>-0.9</v>
      </c>
      <c r="O106" t="n">
        <v>0</v>
      </c>
      <c r="P106" t="inlineStr">
        <is>
          <t>无</t>
        </is>
      </c>
      <c r="Q106" t="inlineStr">
        <is>
          <t>正常</t>
        </is>
      </c>
      <c r="R106" t="inlineStr">
        <is>
          <t>来自现有SCFI真实/公开线索与演示补全长表；C_demo_interpolation不作真实事实声明</t>
        </is>
      </c>
    </row>
    <row r="107">
      <c r="A107" t="inlineStr">
        <is>
          <t>2025-12-05</t>
        </is>
      </c>
      <c r="B107" t="inlineStr">
        <is>
          <t>SCFI综合指数</t>
        </is>
      </c>
      <c r="C107" t="n">
        <v>1397.63</v>
      </c>
      <c r="D107" t="inlineStr">
        <is>
          <t>points</t>
        </is>
      </c>
      <c r="E107" t="inlineStr">
        <is>
          <t>B_public_excerpt</t>
        </is>
      </c>
      <c r="F107" t="n">
        <v>1415.49</v>
      </c>
      <c r="G107" t="n">
        <v>1592.02</v>
      </c>
      <c r="H107" t="n">
        <v>1863.82</v>
      </c>
      <c r="I107" t="n">
        <v>1895.93</v>
      </c>
      <c r="J107" t="n">
        <v>1932.8</v>
      </c>
      <c r="K107" t="n">
        <v>2094.05</v>
      </c>
      <c r="L107" t="n">
        <v>2198.78</v>
      </c>
      <c r="M107" t="n">
        <v>-0.39</v>
      </c>
      <c r="N107" t="n">
        <v>-0.93</v>
      </c>
      <c r="O107" t="n">
        <v>0</v>
      </c>
      <c r="P107" t="inlineStr">
        <is>
          <t>无</t>
        </is>
      </c>
      <c r="Q107" t="inlineStr">
        <is>
          <t>正常</t>
        </is>
      </c>
      <c r="R107" t="inlineStr">
        <is>
          <t>来自现有SCFI真实/公开线索与演示补全长表；C_demo_interpolation不作真实事实声明</t>
        </is>
      </c>
    </row>
    <row r="108">
      <c r="A108" t="inlineStr">
        <is>
          <t>2025-12-12</t>
        </is>
      </c>
      <c r="B108" t="inlineStr">
        <is>
          <t>SCFI综合指数</t>
        </is>
      </c>
      <c r="C108" t="n">
        <v>1475.28</v>
      </c>
      <c r="D108" t="inlineStr">
        <is>
          <t>points</t>
        </is>
      </c>
      <c r="E108" t="inlineStr">
        <is>
          <t>C_demo_interpolation</t>
        </is>
      </c>
      <c r="F108" t="n">
        <v>1415.49</v>
      </c>
      <c r="G108" t="n">
        <v>1592.02</v>
      </c>
      <c r="H108" t="n">
        <v>1863.82</v>
      </c>
      <c r="I108" t="n">
        <v>1895.93</v>
      </c>
      <c r="J108" t="n">
        <v>1932.8</v>
      </c>
      <c r="K108" t="n">
        <v>2094.05</v>
      </c>
      <c r="L108" t="n">
        <v>2198.78</v>
      </c>
      <c r="M108" t="n">
        <v>5.56</v>
      </c>
      <c r="N108" t="n">
        <v>-0.63</v>
      </c>
      <c r="O108" t="n">
        <v>1</v>
      </c>
      <c r="P108" t="inlineStr">
        <is>
          <t>无</t>
        </is>
      </c>
      <c r="Q108" t="inlineStr">
        <is>
          <t>正常</t>
        </is>
      </c>
      <c r="R108" t="inlineStr">
        <is>
          <t>来自现有SCFI真实/公开线索与演示补全长表；C_demo_interpolation不作真实事实声明</t>
        </is>
      </c>
    </row>
    <row r="109">
      <c r="A109" t="inlineStr">
        <is>
          <t>2025-12-19</t>
        </is>
      </c>
      <c r="B109" t="inlineStr">
        <is>
          <t>SCFI综合指数</t>
        </is>
      </c>
      <c r="C109" t="n">
        <v>1552.92</v>
      </c>
      <c r="D109" t="inlineStr">
        <is>
          <t>points</t>
        </is>
      </c>
      <c r="E109" t="inlineStr">
        <is>
          <t>B_public_excerpt</t>
        </is>
      </c>
      <c r="F109" t="n">
        <v>1415.49</v>
      </c>
      <c r="G109" t="n">
        <v>1592.02</v>
      </c>
      <c r="H109" t="n">
        <v>1863.82</v>
      </c>
      <c r="I109" t="n">
        <v>1895.93</v>
      </c>
      <c r="J109" t="n">
        <v>1932.8</v>
      </c>
      <c r="K109" t="n">
        <v>2094.05</v>
      </c>
      <c r="L109" t="n">
        <v>2198.78</v>
      </c>
      <c r="M109" t="n">
        <v>5.26</v>
      </c>
      <c r="N109" t="n">
        <v>-0.33</v>
      </c>
      <c r="O109" t="n">
        <v>2</v>
      </c>
      <c r="P109" t="inlineStr">
        <is>
          <t>无</t>
        </is>
      </c>
      <c r="Q109" t="inlineStr">
        <is>
          <t>正常</t>
        </is>
      </c>
      <c r="R109" t="inlineStr">
        <is>
          <t>来自现有SCFI真实/公开线索与演示补全长表；C_demo_interpolation不作真实事实声明</t>
        </is>
      </c>
    </row>
    <row r="110">
      <c r="A110" t="inlineStr">
        <is>
          <t>2025-12-26</t>
        </is>
      </c>
      <c r="B110" t="inlineStr">
        <is>
          <t>SCFI综合指数</t>
        </is>
      </c>
      <c r="C110" t="n">
        <v>1656.32</v>
      </c>
      <c r="D110" t="inlineStr">
        <is>
          <t>points</t>
        </is>
      </c>
      <c r="E110" t="inlineStr">
        <is>
          <t>B_public_excerpt</t>
        </is>
      </c>
      <c r="F110" t="n">
        <v>1415.49</v>
      </c>
      <c r="G110" t="n">
        <v>1592.02</v>
      </c>
      <c r="H110" t="n">
        <v>1863.82</v>
      </c>
      <c r="I110" t="n">
        <v>1895.93</v>
      </c>
      <c r="J110" t="n">
        <v>1932.8</v>
      </c>
      <c r="K110" t="n">
        <v>2094.05</v>
      </c>
      <c r="L110" t="n">
        <v>2198.78</v>
      </c>
      <c r="M110" t="n">
        <v>6.66</v>
      </c>
      <c r="N110" t="n">
        <v>0.07000000000000001</v>
      </c>
      <c r="O110" t="n">
        <v>3</v>
      </c>
      <c r="P110" t="inlineStr">
        <is>
          <t>连续上涨≥3周</t>
        </is>
      </c>
      <c r="Q110" t="inlineStr">
        <is>
          <t>黄色关注</t>
        </is>
      </c>
      <c r="R110" t="inlineStr">
        <is>
          <t>来自现有SCFI真实/公开线索与演示补全长表；C_demo_interpolation不作真实事实声明</t>
        </is>
      </c>
    </row>
    <row r="111">
      <c r="A111" t="inlineStr">
        <is>
          <t>2026-01-02</t>
        </is>
      </c>
      <c r="B111" t="inlineStr">
        <is>
          <t>SCFI综合指数</t>
        </is>
      </c>
      <c r="C111" t="n">
        <v>1588.41</v>
      </c>
      <c r="D111" t="inlineStr">
        <is>
          <t>points</t>
        </is>
      </c>
      <c r="E111" t="inlineStr">
        <is>
          <t>C_demo_interpolation</t>
        </is>
      </c>
      <c r="F111" t="n">
        <v>1415.49</v>
      </c>
      <c r="G111" t="n">
        <v>1592.02</v>
      </c>
      <c r="H111" t="n">
        <v>1863.82</v>
      </c>
      <c r="I111" t="n">
        <v>1895.93</v>
      </c>
      <c r="J111" t="n">
        <v>1932.8</v>
      </c>
      <c r="K111" t="n">
        <v>2094.05</v>
      </c>
      <c r="L111" t="n">
        <v>2198.78</v>
      </c>
      <c r="M111" t="n">
        <v>-4.1</v>
      </c>
      <c r="N111" t="n">
        <v>-0.19</v>
      </c>
      <c r="O111" t="n">
        <v>0</v>
      </c>
      <c r="P111" t="inlineStr">
        <is>
          <t>无</t>
        </is>
      </c>
      <c r="Q111" t="inlineStr">
        <is>
          <t>正常</t>
        </is>
      </c>
      <c r="R111" t="inlineStr">
        <is>
          <t>来自现有SCFI真实/公开线索与演示补全长表；C_demo_interpolation不作真实事实声明</t>
        </is>
      </c>
    </row>
    <row r="112">
      <c r="A112" t="inlineStr">
        <is>
          <t>2026-01-09</t>
        </is>
      </c>
      <c r="B112" t="inlineStr">
        <is>
          <t>SCFI综合指数</t>
        </is>
      </c>
      <c r="C112" t="n">
        <v>1520.49</v>
      </c>
      <c r="D112" t="inlineStr">
        <is>
          <t>points</t>
        </is>
      </c>
      <c r="E112" t="inlineStr">
        <is>
          <t>C_demo_interpolation</t>
        </is>
      </c>
      <c r="F112" t="n">
        <v>1415.49</v>
      </c>
      <c r="G112" t="n">
        <v>1592.02</v>
      </c>
      <c r="H112" t="n">
        <v>1863.82</v>
      </c>
      <c r="I112" t="n">
        <v>1895.93</v>
      </c>
      <c r="J112" t="n">
        <v>1932.8</v>
      </c>
      <c r="K112" t="n">
        <v>2094.05</v>
      </c>
      <c r="L112" t="n">
        <v>2198.78</v>
      </c>
      <c r="M112" t="n">
        <v>-4.28</v>
      </c>
      <c r="N112" t="n">
        <v>-0.45</v>
      </c>
      <c r="O112" t="n">
        <v>0</v>
      </c>
      <c r="P112" t="inlineStr">
        <is>
          <t>无</t>
        </is>
      </c>
      <c r="Q112" t="inlineStr">
        <is>
          <t>正常</t>
        </is>
      </c>
      <c r="R112" t="inlineStr">
        <is>
          <t>来自现有SCFI真实/公开线索与演示补全长表；C_demo_interpolation不作真实事实声明</t>
        </is>
      </c>
    </row>
    <row r="113">
      <c r="A113" t="inlineStr">
        <is>
          <t>2026-01-16</t>
        </is>
      </c>
      <c r="B113" t="inlineStr">
        <is>
          <t>SCFI综合指数</t>
        </is>
      </c>
      <c r="C113" t="n">
        <v>1452.58</v>
      </c>
      <c r="D113" t="inlineStr">
        <is>
          <t>points</t>
        </is>
      </c>
      <c r="E113" t="inlineStr">
        <is>
          <t>C_demo_interpolation</t>
        </is>
      </c>
      <c r="F113" t="n">
        <v>1415.49</v>
      </c>
      <c r="G113" t="n">
        <v>1592.02</v>
      </c>
      <c r="H113" t="n">
        <v>1863.82</v>
      </c>
      <c r="I113" t="n">
        <v>1895.93</v>
      </c>
      <c r="J113" t="n">
        <v>1932.8</v>
      </c>
      <c r="K113" t="n">
        <v>2094.05</v>
      </c>
      <c r="L113" t="n">
        <v>2198.78</v>
      </c>
      <c r="M113" t="n">
        <v>-4.47</v>
      </c>
      <c r="N113" t="n">
        <v>-0.71</v>
      </c>
      <c r="O113" t="n">
        <v>0</v>
      </c>
      <c r="P113" t="inlineStr">
        <is>
          <t>无</t>
        </is>
      </c>
      <c r="Q113" t="inlineStr">
        <is>
          <t>正常</t>
        </is>
      </c>
      <c r="R113" t="inlineStr">
        <is>
          <t>来自现有SCFI真实/公开线索与演示补全长表；C_demo_interpolation不作真实事实声明</t>
        </is>
      </c>
    </row>
    <row r="114">
      <c r="A114" t="inlineStr">
        <is>
          <t>2026-01-23</t>
        </is>
      </c>
      <c r="B114" t="inlineStr">
        <is>
          <t>SCFI综合指数</t>
        </is>
      </c>
      <c r="C114" t="n">
        <v>1384.66</v>
      </c>
      <c r="D114" t="inlineStr">
        <is>
          <t>points</t>
        </is>
      </c>
      <c r="E114" t="inlineStr">
        <is>
          <t>C_demo_interpolation</t>
        </is>
      </c>
      <c r="F114" t="n">
        <v>1415.49</v>
      </c>
      <c r="G114" t="n">
        <v>1592.02</v>
      </c>
      <c r="H114" t="n">
        <v>1863.82</v>
      </c>
      <c r="I114" t="n">
        <v>1895.93</v>
      </c>
      <c r="J114" t="n">
        <v>1932.8</v>
      </c>
      <c r="K114" t="n">
        <v>2094.05</v>
      </c>
      <c r="L114" t="n">
        <v>2198.78</v>
      </c>
      <c r="M114" t="n">
        <v>-4.68</v>
      </c>
      <c r="N114" t="n">
        <v>-0.97</v>
      </c>
      <c r="O114" t="n">
        <v>0</v>
      </c>
      <c r="P114" t="inlineStr">
        <is>
          <t>无</t>
        </is>
      </c>
      <c r="Q114" t="inlineStr">
        <is>
          <t>正常</t>
        </is>
      </c>
      <c r="R114" t="inlineStr">
        <is>
          <t>来自现有SCFI真实/公开线索与演示补全长表；C_demo_interpolation不作真实事实声明</t>
        </is>
      </c>
    </row>
    <row r="115">
      <c r="A115" t="inlineStr">
        <is>
          <t>2026-01-30</t>
        </is>
      </c>
      <c r="B115" t="inlineStr">
        <is>
          <t>SCFI综合指数</t>
        </is>
      </c>
      <c r="C115" t="n">
        <v>1316.75</v>
      </c>
      <c r="D115" t="inlineStr">
        <is>
          <t>points</t>
        </is>
      </c>
      <c r="E115" t="inlineStr">
        <is>
          <t>B_public_excerpt</t>
        </is>
      </c>
      <c r="F115" t="n">
        <v>1415.49</v>
      </c>
      <c r="G115" t="n">
        <v>1592.02</v>
      </c>
      <c r="H115" t="n">
        <v>1863.82</v>
      </c>
      <c r="I115" t="n">
        <v>1895.93</v>
      </c>
      <c r="J115" t="n">
        <v>1932.8</v>
      </c>
      <c r="K115" t="n">
        <v>2094.05</v>
      </c>
      <c r="L115" t="n">
        <v>2198.78</v>
      </c>
      <c r="M115" t="n">
        <v>-4.9</v>
      </c>
      <c r="N115" t="n">
        <v>-1.24</v>
      </c>
      <c r="O115" t="n">
        <v>0</v>
      </c>
      <c r="P115" t="inlineStr">
        <is>
          <t>无</t>
        </is>
      </c>
      <c r="Q115" t="inlineStr">
        <is>
          <t>正常</t>
        </is>
      </c>
      <c r="R115" t="inlineStr">
        <is>
          <t>来自现有SCFI真实/公开线索与演示补全长表；C_demo_interpolation不作真实事实声明</t>
        </is>
      </c>
    </row>
    <row r="116">
      <c r="A116" t="inlineStr">
        <is>
          <t>2026-02-06</t>
        </is>
      </c>
      <c r="B116" t="inlineStr">
        <is>
          <t>SCFI综合指数</t>
        </is>
      </c>
      <c r="C116" t="n">
        <v>1266.56</v>
      </c>
      <c r="D116" t="inlineStr">
        <is>
          <t>points</t>
        </is>
      </c>
      <c r="E116" t="inlineStr">
        <is>
          <t>B_public_excerpt</t>
        </is>
      </c>
      <c r="F116" t="n">
        <v>1415.49</v>
      </c>
      <c r="G116" t="n">
        <v>1592.02</v>
      </c>
      <c r="H116" t="n">
        <v>1863.82</v>
      </c>
      <c r="I116" t="n">
        <v>1895.93</v>
      </c>
      <c r="J116" t="n">
        <v>1932.8</v>
      </c>
      <c r="K116" t="n">
        <v>2094.05</v>
      </c>
      <c r="L116" t="n">
        <v>2198.78</v>
      </c>
      <c r="M116" t="n">
        <v>-3.81</v>
      </c>
      <c r="N116" t="n">
        <v>-1.43</v>
      </c>
      <c r="O116" t="n">
        <v>0</v>
      </c>
      <c r="P116" t="inlineStr">
        <is>
          <t>无</t>
        </is>
      </c>
      <c r="Q116" t="inlineStr">
        <is>
          <t>正常</t>
        </is>
      </c>
      <c r="R116" t="inlineStr">
        <is>
          <t>来自现有SCFI真实/公开线索与演示补全长表；C_demo_interpolation不作真实事实声明</t>
        </is>
      </c>
    </row>
    <row r="117">
      <c r="A117" t="inlineStr">
        <is>
          <t>2026-02-13</t>
        </is>
      </c>
      <c r="B117" t="inlineStr">
        <is>
          <t>SCFI综合指数</t>
        </is>
      </c>
      <c r="C117" t="n">
        <v>1251.46</v>
      </c>
      <c r="D117" t="inlineStr">
        <is>
          <t>points</t>
        </is>
      </c>
      <c r="E117" t="inlineStr">
        <is>
          <t>B_public_excerpt</t>
        </is>
      </c>
      <c r="F117" t="n">
        <v>1415.49</v>
      </c>
      <c r="G117" t="n">
        <v>1592.02</v>
      </c>
      <c r="H117" t="n">
        <v>1863.82</v>
      </c>
      <c r="I117" t="n">
        <v>1895.93</v>
      </c>
      <c r="J117" t="n">
        <v>1932.8</v>
      </c>
      <c r="K117" t="n">
        <v>2094.05</v>
      </c>
      <c r="L117" t="n">
        <v>2198.78</v>
      </c>
      <c r="M117" t="n">
        <v>-1.19</v>
      </c>
      <c r="N117" t="n">
        <v>-1.49</v>
      </c>
      <c r="O117" t="n">
        <v>0</v>
      </c>
      <c r="P117" t="inlineStr">
        <is>
          <t>无</t>
        </is>
      </c>
      <c r="Q117" t="inlineStr">
        <is>
          <t>正常</t>
        </is>
      </c>
      <c r="R117" t="inlineStr">
        <is>
          <t>来自现有SCFI真实/公开线索与演示补全长表；C_demo_interpolation不作真实事实声明</t>
        </is>
      </c>
    </row>
    <row r="118">
      <c r="A118" t="inlineStr">
        <is>
          <t>2026-02-20</t>
        </is>
      </c>
      <c r="B118" t="inlineStr">
        <is>
          <t>SCFI综合指数</t>
        </is>
      </c>
      <c r="C118" t="n">
        <v>1366.18</v>
      </c>
      <c r="D118" t="inlineStr">
        <is>
          <t>points</t>
        </is>
      </c>
      <c r="E118" t="inlineStr">
        <is>
          <t>C_demo_interpolation</t>
        </is>
      </c>
      <c r="F118" t="n">
        <v>1415.49</v>
      </c>
      <c r="G118" t="n">
        <v>1592.02</v>
      </c>
      <c r="H118" t="n">
        <v>1863.82</v>
      </c>
      <c r="I118" t="n">
        <v>1895.93</v>
      </c>
      <c r="J118" t="n">
        <v>1932.8</v>
      </c>
      <c r="K118" t="n">
        <v>2094.05</v>
      </c>
      <c r="L118" t="n">
        <v>2198.78</v>
      </c>
      <c r="M118" t="n">
        <v>9.17</v>
      </c>
      <c r="N118" t="n">
        <v>-1.05</v>
      </c>
      <c r="O118" t="n">
        <v>1</v>
      </c>
      <c r="P118" t="inlineStr">
        <is>
          <t>无</t>
        </is>
      </c>
      <c r="Q118" t="inlineStr">
        <is>
          <t>正常</t>
        </is>
      </c>
      <c r="R118" t="inlineStr">
        <is>
          <t>来自现有SCFI真实/公开线索与演示补全长表；C_demo_interpolation不作真实事实声明</t>
        </is>
      </c>
    </row>
    <row r="119">
      <c r="A119" t="inlineStr">
        <is>
          <t>2026-02-27</t>
        </is>
      </c>
      <c r="B119" t="inlineStr">
        <is>
          <t>SCFI综合指数</t>
        </is>
      </c>
      <c r="C119" t="n">
        <v>1480.9</v>
      </c>
      <c r="D119" t="inlineStr">
        <is>
          <t>points</t>
        </is>
      </c>
      <c r="E119" t="inlineStr">
        <is>
          <t>C_demo_interpolation</t>
        </is>
      </c>
      <c r="F119" t="n">
        <v>1415.49</v>
      </c>
      <c r="G119" t="n">
        <v>1592.02</v>
      </c>
      <c r="H119" t="n">
        <v>1863.82</v>
      </c>
      <c r="I119" t="n">
        <v>1895.93</v>
      </c>
      <c r="J119" t="n">
        <v>1932.8</v>
      </c>
      <c r="K119" t="n">
        <v>2094.05</v>
      </c>
      <c r="L119" t="n">
        <v>2198.78</v>
      </c>
      <c r="M119" t="n">
        <v>8.4</v>
      </c>
      <c r="N119" t="n">
        <v>-0.61</v>
      </c>
      <c r="O119" t="n">
        <v>2</v>
      </c>
      <c r="P119" t="inlineStr">
        <is>
          <t>无</t>
        </is>
      </c>
      <c r="Q119" t="inlineStr">
        <is>
          <t>正常</t>
        </is>
      </c>
      <c r="R119" t="inlineStr">
        <is>
          <t>来自现有SCFI真实/公开线索与演示补全长表；C_demo_interpolation不作真实事实声明</t>
        </is>
      </c>
    </row>
    <row r="120">
      <c r="A120" t="inlineStr">
        <is>
          <t>2026-03-06</t>
        </is>
      </c>
      <c r="B120" t="inlineStr">
        <is>
          <t>SCFI综合指数</t>
        </is>
      </c>
      <c r="C120" t="n">
        <v>1595.63</v>
      </c>
      <c r="D120" t="inlineStr">
        <is>
          <t>points</t>
        </is>
      </c>
      <c r="E120" t="inlineStr">
        <is>
          <t>C_demo_interpolation</t>
        </is>
      </c>
      <c r="F120" t="n">
        <v>1415.49</v>
      </c>
      <c r="G120" t="n">
        <v>1592.02</v>
      </c>
      <c r="H120" t="n">
        <v>1863.82</v>
      </c>
      <c r="I120" t="n">
        <v>1895.93</v>
      </c>
      <c r="J120" t="n">
        <v>1932.8</v>
      </c>
      <c r="K120" t="n">
        <v>2094.05</v>
      </c>
      <c r="L120" t="n">
        <v>2198.78</v>
      </c>
      <c r="M120" t="n">
        <v>7.75</v>
      </c>
      <c r="N120" t="n">
        <v>-0.16</v>
      </c>
      <c r="O120" t="n">
        <v>3</v>
      </c>
      <c r="P120" t="inlineStr">
        <is>
          <t>连续上涨≥3周</t>
        </is>
      </c>
      <c r="Q120" t="inlineStr">
        <is>
          <t>黄色关注</t>
        </is>
      </c>
      <c r="R120" t="inlineStr">
        <is>
          <t>来自现有SCFI真实/公开线索与演示补全长表；C_demo_interpolation不作真实事实声明</t>
        </is>
      </c>
    </row>
    <row r="121">
      <c r="A121" t="inlineStr">
        <is>
          <t>2026-03-13</t>
        </is>
      </c>
      <c r="B121" t="inlineStr">
        <is>
          <t>SCFI综合指数</t>
        </is>
      </c>
      <c r="C121" t="n">
        <v>1710.35</v>
      </c>
      <c r="D121" t="inlineStr">
        <is>
          <t>points</t>
        </is>
      </c>
      <c r="E121" t="inlineStr">
        <is>
          <t>B_public_excerpt</t>
        </is>
      </c>
      <c r="F121" t="n">
        <v>1415.49</v>
      </c>
      <c r="G121" t="n">
        <v>1592.02</v>
      </c>
      <c r="H121" t="n">
        <v>1863.82</v>
      </c>
      <c r="I121" t="n">
        <v>1895.93</v>
      </c>
      <c r="J121" t="n">
        <v>1932.8</v>
      </c>
      <c r="K121" t="n">
        <v>2094.05</v>
      </c>
      <c r="L121" t="n">
        <v>2198.78</v>
      </c>
      <c r="M121" t="n">
        <v>7.19</v>
      </c>
      <c r="N121" t="n">
        <v>0.28</v>
      </c>
      <c r="O121" t="n">
        <v>4</v>
      </c>
      <c r="P121" t="inlineStr">
        <is>
          <t>连续上涨≥3周</t>
        </is>
      </c>
      <c r="Q121" t="inlineStr">
        <is>
          <t>黄色关注</t>
        </is>
      </c>
      <c r="R121" t="inlineStr">
        <is>
          <t>来自现有SCFI真实/公开线索与演示补全长表；C_demo_interpolation不作真实事实声明</t>
        </is>
      </c>
    </row>
    <row r="122">
      <c r="A122" t="inlineStr">
        <is>
          <t>2026-03-20</t>
        </is>
      </c>
      <c r="B122" t="inlineStr">
        <is>
          <t>SCFI综合指数</t>
        </is>
      </c>
      <c r="C122" t="n">
        <v>1706.95</v>
      </c>
      <c r="D122" t="inlineStr">
        <is>
          <t>points</t>
        </is>
      </c>
      <c r="E122" t="inlineStr">
        <is>
          <t>B_public_excerpt</t>
        </is>
      </c>
      <c r="F122" t="n">
        <v>1415.49</v>
      </c>
      <c r="G122" t="n">
        <v>1592.02</v>
      </c>
      <c r="H122" t="n">
        <v>1863.82</v>
      </c>
      <c r="I122" t="n">
        <v>1895.93</v>
      </c>
      <c r="J122" t="n">
        <v>1932.8</v>
      </c>
      <c r="K122" t="n">
        <v>2094.05</v>
      </c>
      <c r="L122" t="n">
        <v>2198.78</v>
      </c>
      <c r="M122" t="n">
        <v>-0.2</v>
      </c>
      <c r="N122" t="n">
        <v>0.26</v>
      </c>
      <c r="O122" t="n">
        <v>0</v>
      </c>
      <c r="P122" t="inlineStr">
        <is>
          <t>无</t>
        </is>
      </c>
      <c r="Q122" t="inlineStr">
        <is>
          <t>正常</t>
        </is>
      </c>
      <c r="R122" t="inlineStr">
        <is>
          <t>来自现有SCFI真实/公开线索与演示补全长表；C_demo_interpolation不作真实事实声明</t>
        </is>
      </c>
    </row>
    <row r="123">
      <c r="A123" t="inlineStr">
        <is>
          <t>2026-03-27</t>
        </is>
      </c>
      <c r="B123" t="inlineStr">
        <is>
          <t>SCFI综合指数</t>
        </is>
      </c>
      <c r="C123" t="n">
        <v>1768.22</v>
      </c>
      <c r="D123" t="inlineStr">
        <is>
          <t>points</t>
        </is>
      </c>
      <c r="E123" t="inlineStr">
        <is>
          <t>C_demo_interpolation</t>
        </is>
      </c>
      <c r="F123" t="n">
        <v>1415.49</v>
      </c>
      <c r="G123" t="n">
        <v>1592.02</v>
      </c>
      <c r="H123" t="n">
        <v>1863.82</v>
      </c>
      <c r="I123" t="n">
        <v>1895.93</v>
      </c>
      <c r="J123" t="n">
        <v>1932.8</v>
      </c>
      <c r="K123" t="n">
        <v>2094.05</v>
      </c>
      <c r="L123" t="n">
        <v>2198.78</v>
      </c>
      <c r="M123" t="n">
        <v>3.59</v>
      </c>
      <c r="N123" t="n">
        <v>0.5</v>
      </c>
      <c r="O123" t="n">
        <v>1</v>
      </c>
      <c r="P123" t="inlineStr">
        <is>
          <t>无</t>
        </is>
      </c>
      <c r="Q123" t="inlineStr">
        <is>
          <t>正常</t>
        </is>
      </c>
      <c r="R123" t="inlineStr">
        <is>
          <t>来自现有SCFI真实/公开线索与演示补全长表；C_demo_interpolation不作真实事实声明</t>
        </is>
      </c>
    </row>
    <row r="124">
      <c r="A124" t="inlineStr">
        <is>
          <t>2026-04-03</t>
        </is>
      </c>
      <c r="B124" t="inlineStr">
        <is>
          <t>SCFI综合指数</t>
        </is>
      </c>
      <c r="C124" t="n">
        <v>1829.5</v>
      </c>
      <c r="D124" t="inlineStr">
        <is>
          <t>points</t>
        </is>
      </c>
      <c r="E124" t="inlineStr">
        <is>
          <t>C_demo_interpolation</t>
        </is>
      </c>
      <c r="F124" t="n">
        <v>1415.49</v>
      </c>
      <c r="G124" t="n">
        <v>1592.02</v>
      </c>
      <c r="H124" t="n">
        <v>1863.82</v>
      </c>
      <c r="I124" t="n">
        <v>1895.93</v>
      </c>
      <c r="J124" t="n">
        <v>1932.8</v>
      </c>
      <c r="K124" t="n">
        <v>2094.05</v>
      </c>
      <c r="L124" t="n">
        <v>2198.78</v>
      </c>
      <c r="M124" t="n">
        <v>3.47</v>
      </c>
      <c r="N124" t="n">
        <v>0.73</v>
      </c>
      <c r="O124" t="n">
        <v>2</v>
      </c>
      <c r="P124" t="inlineStr">
        <is>
          <t>无</t>
        </is>
      </c>
      <c r="Q124" t="inlineStr">
        <is>
          <t>正常</t>
        </is>
      </c>
      <c r="R124" t="inlineStr">
        <is>
          <t>来自现有SCFI真实/公开线索与演示补全长表；C_demo_interpolation不作真实事实声明</t>
        </is>
      </c>
    </row>
    <row r="125">
      <c r="A125" t="inlineStr">
        <is>
          <t>2026-04-10</t>
        </is>
      </c>
      <c r="B125" t="inlineStr">
        <is>
          <t>SCFI综合指数</t>
        </is>
      </c>
      <c r="C125" t="n">
        <v>1890.77</v>
      </c>
      <c r="D125" t="inlineStr">
        <is>
          <t>points</t>
        </is>
      </c>
      <c r="E125" t="inlineStr">
        <is>
          <t>B_public_excerpt</t>
        </is>
      </c>
      <c r="F125" t="n">
        <v>1415.49</v>
      </c>
      <c r="G125" t="n">
        <v>1592.02</v>
      </c>
      <c r="H125" t="n">
        <v>1863.82</v>
      </c>
      <c r="I125" t="n">
        <v>1895.93</v>
      </c>
      <c r="J125" t="n">
        <v>1932.8</v>
      </c>
      <c r="K125" t="n">
        <v>2094.05</v>
      </c>
      <c r="L125" t="n">
        <v>2198.78</v>
      </c>
      <c r="M125" t="n">
        <v>3.35</v>
      </c>
      <c r="N125" t="n">
        <v>0.97</v>
      </c>
      <c r="O125" t="n">
        <v>3</v>
      </c>
      <c r="P125" t="inlineStr">
        <is>
          <t>连续上涨≥3周</t>
        </is>
      </c>
      <c r="Q125" t="inlineStr">
        <is>
          <t>黄色关注</t>
        </is>
      </c>
      <c r="R125" t="inlineStr">
        <is>
          <t>来自现有SCFI真实/公开线索与演示补全长表；C_demo_interpolation不作真实事实声明</t>
        </is>
      </c>
    </row>
    <row r="126">
      <c r="A126" t="inlineStr">
        <is>
          <t>2026-04-17</t>
        </is>
      </c>
      <c r="B126" t="inlineStr">
        <is>
          <t>SCFI综合指数</t>
        </is>
      </c>
      <c r="C126" t="n">
        <v>1886.54</v>
      </c>
      <c r="D126" t="inlineStr">
        <is>
          <t>points</t>
        </is>
      </c>
      <c r="E126" t="inlineStr">
        <is>
          <t>B_public_excerpt</t>
        </is>
      </c>
      <c r="F126" t="n">
        <v>1415.49</v>
      </c>
      <c r="G126" t="n">
        <v>1592.02</v>
      </c>
      <c r="H126" t="n">
        <v>1863.82</v>
      </c>
      <c r="I126" t="n">
        <v>1895.93</v>
      </c>
      <c r="J126" t="n">
        <v>1932.8</v>
      </c>
      <c r="K126" t="n">
        <v>2094.05</v>
      </c>
      <c r="L126" t="n">
        <v>2198.78</v>
      </c>
      <c r="M126" t="n">
        <v>-0.22</v>
      </c>
      <c r="N126" t="n">
        <v>0.95</v>
      </c>
      <c r="O126" t="n">
        <v>0</v>
      </c>
      <c r="P126" t="inlineStr">
        <is>
          <t>无</t>
        </is>
      </c>
      <c r="Q126" t="inlineStr">
        <is>
          <t>正常</t>
        </is>
      </c>
      <c r="R126" t="inlineStr">
        <is>
          <t>来自现有SCFI真实/公开线索与演示补全长表；C_demo_interpolation不作真实事实声明</t>
        </is>
      </c>
    </row>
    <row r="127">
      <c r="A127" t="inlineStr">
        <is>
          <t>2026-04-24</t>
        </is>
      </c>
      <c r="B127" t="inlineStr">
        <is>
          <t>SCFI综合指数</t>
        </is>
      </c>
      <c r="C127" t="n">
        <v>1875.26</v>
      </c>
      <c r="D127" t="inlineStr">
        <is>
          <t>points</t>
        </is>
      </c>
      <c r="E127" t="inlineStr">
        <is>
          <t>B_public_excerpt</t>
        </is>
      </c>
      <c r="F127" t="n">
        <v>1415.49</v>
      </c>
      <c r="G127" t="n">
        <v>1592.02</v>
      </c>
      <c r="H127" t="n">
        <v>1863.82</v>
      </c>
      <c r="I127" t="n">
        <v>1895.93</v>
      </c>
      <c r="J127" t="n">
        <v>1932.8</v>
      </c>
      <c r="K127" t="n">
        <v>2094.05</v>
      </c>
      <c r="L127" t="n">
        <v>2198.78</v>
      </c>
      <c r="M127" t="n">
        <v>-0.6</v>
      </c>
      <c r="N127" t="n">
        <v>0.91</v>
      </c>
      <c r="O127" t="n">
        <v>0</v>
      </c>
      <c r="P127" t="inlineStr">
        <is>
          <t>无</t>
        </is>
      </c>
      <c r="Q127" t="inlineStr">
        <is>
          <t>正常</t>
        </is>
      </c>
      <c r="R127" t="inlineStr">
        <is>
          <t>来自现有SCFI真实/公开线索与演示补全长表；C_demo_interpolation不作真实事实声明</t>
        </is>
      </c>
    </row>
    <row r="128">
      <c r="A128" t="inlineStr">
        <is>
          <t>2026-05-01</t>
        </is>
      </c>
      <c r="B128" t="inlineStr">
        <is>
          <t>SCFI综合指数</t>
        </is>
      </c>
      <c r="C128" t="n">
        <v>1911.4</v>
      </c>
      <c r="D128" t="inlineStr">
        <is>
          <t>points</t>
        </is>
      </c>
      <c r="E128" t="inlineStr">
        <is>
          <t>B_public_excerpt</t>
        </is>
      </c>
      <c r="F128" t="n">
        <v>1415.49</v>
      </c>
      <c r="G128" t="n">
        <v>1592.02</v>
      </c>
      <c r="H128" t="n">
        <v>1863.82</v>
      </c>
      <c r="I128" t="n">
        <v>1895.93</v>
      </c>
      <c r="J128" t="n">
        <v>1932.8</v>
      </c>
      <c r="K128" t="n">
        <v>2094.05</v>
      </c>
      <c r="L128" t="n">
        <v>2198.78</v>
      </c>
      <c r="M128" t="n">
        <v>1.93</v>
      </c>
      <c r="N128" t="n">
        <v>1.05</v>
      </c>
      <c r="O128" t="n">
        <v>1</v>
      </c>
      <c r="P128" t="inlineStr">
        <is>
          <t>P85关注</t>
        </is>
      </c>
      <c r="Q128" t="inlineStr">
        <is>
          <t>黄色关注</t>
        </is>
      </c>
      <c r="R128" t="inlineStr">
        <is>
          <t>来自现有SCFI真实/公开线索与演示补全长表；C_demo_interpolation不作真实事实声明</t>
        </is>
      </c>
    </row>
    <row r="129">
      <c r="A129" t="inlineStr">
        <is>
          <t>2026-05-08</t>
        </is>
      </c>
      <c r="B129" t="inlineStr">
        <is>
          <t>SCFI综合指数</t>
        </is>
      </c>
      <c r="C129" t="n">
        <v>1954.21</v>
      </c>
      <c r="D129" t="inlineStr">
        <is>
          <t>points</t>
        </is>
      </c>
      <c r="E129" t="inlineStr">
        <is>
          <t>B_public_excerpt</t>
        </is>
      </c>
      <c r="F129" t="n">
        <v>1415.49</v>
      </c>
      <c r="G129" t="n">
        <v>1592.02</v>
      </c>
      <c r="H129" t="n">
        <v>1863.82</v>
      </c>
      <c r="I129" t="n">
        <v>1895.93</v>
      </c>
      <c r="J129" t="n">
        <v>1932.8</v>
      </c>
      <c r="K129" t="n">
        <v>2094.05</v>
      </c>
      <c r="L129" t="n">
        <v>2198.78</v>
      </c>
      <c r="M129" t="n">
        <v>2.24</v>
      </c>
      <c r="N129" t="n">
        <v>1.21</v>
      </c>
      <c r="O129" t="n">
        <v>2</v>
      </c>
      <c r="P129" t="inlineStr">
        <is>
          <t>P85关注</t>
        </is>
      </c>
      <c r="Q129" t="inlineStr">
        <is>
          <t>黄色关注</t>
        </is>
      </c>
      <c r="R129" t="inlineStr">
        <is>
          <t>来自现有SCFI真实/公开线索与演示补全长表；C_demo_interpolation不作真实事实声明</t>
        </is>
      </c>
    </row>
    <row r="130">
      <c r="A130" t="inlineStr">
        <is>
          <t>2026-05-15</t>
        </is>
      </c>
      <c r="B130" t="inlineStr">
        <is>
          <t>SCFI综合指数</t>
        </is>
      </c>
      <c r="C130" t="n">
        <v>2140.66</v>
      </c>
      <c r="D130" t="inlineStr">
        <is>
          <t>points</t>
        </is>
      </c>
      <c r="E130" t="inlineStr">
        <is>
          <t>A_official</t>
        </is>
      </c>
      <c r="F130" t="n">
        <v>1415.49</v>
      </c>
      <c r="G130" t="n">
        <v>1592.02</v>
      </c>
      <c r="H130" t="n">
        <v>1863.82</v>
      </c>
      <c r="I130" t="n">
        <v>1895.93</v>
      </c>
      <c r="J130" t="n">
        <v>1932.8</v>
      </c>
      <c r="K130" t="n">
        <v>2094.05</v>
      </c>
      <c r="L130" t="n">
        <v>2198.78</v>
      </c>
      <c r="M130" t="n">
        <v>9.539999999999999</v>
      </c>
      <c r="N130" t="n">
        <v>1.93</v>
      </c>
      <c r="O130" t="n">
        <v>3</v>
      </c>
      <c r="P130" t="inlineStr">
        <is>
          <t>P95高位;连续上涨≥3周</t>
        </is>
      </c>
      <c r="Q130" t="inlineStr">
        <is>
          <t>红色预警</t>
        </is>
      </c>
      <c r="R130" t="inlineStr">
        <is>
          <t>来自现有SCFI真实/公开线索与演示补全长表；C_demo_interpolation不作真实事实声明</t>
        </is>
      </c>
    </row>
    <row r="131">
      <c r="A131" t="inlineStr">
        <is>
          <t>2026-05-22</t>
        </is>
      </c>
      <c r="B131" t="inlineStr">
        <is>
          <t>SCFI综合指数</t>
        </is>
      </c>
      <c r="C131" t="n">
        <v>2218.15</v>
      </c>
      <c r="D131" t="inlineStr">
        <is>
          <t>points</t>
        </is>
      </c>
      <c r="E131" t="inlineStr">
        <is>
          <t>A_official</t>
        </is>
      </c>
      <c r="F131" t="n">
        <v>1415.49</v>
      </c>
      <c r="G131" t="n">
        <v>1592.02</v>
      </c>
      <c r="H131" t="n">
        <v>1863.82</v>
      </c>
      <c r="I131" t="n">
        <v>1895.93</v>
      </c>
      <c r="J131" t="n">
        <v>1932.8</v>
      </c>
      <c r="K131" t="n">
        <v>2094.05</v>
      </c>
      <c r="L131" t="n">
        <v>2198.78</v>
      </c>
      <c r="M131" t="n">
        <v>3.62</v>
      </c>
      <c r="N131" t="n">
        <v>2.23</v>
      </c>
      <c r="O131" t="n">
        <v>4</v>
      </c>
      <c r="P131" t="inlineStr">
        <is>
          <t>P95高位;Z≥2异常;连续上涨≥3周</t>
        </is>
      </c>
      <c r="Q131" t="inlineStr">
        <is>
          <t>红色预警</t>
        </is>
      </c>
      <c r="R131" t="inlineStr">
        <is>
          <t>来自现有SCFI真实/公开线索与演示补全长表；C_demo_interpolation不作真实事实声明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7" customWidth="1" min="15" max="15"/>
    <col width="21" customWidth="1" min="16" max="16"/>
    <col width="15" customWidth="1" min="17" max="17"/>
    <col width="42" customWidth="1" min="18" max="18"/>
  </cols>
  <sheetData>
    <row r="1">
      <c r="A1" s="2" t="inlineStr">
        <is>
          <t>date</t>
        </is>
      </c>
      <c r="B1" s="2" t="inlineStr">
        <is>
          <t>route_name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quality_level</t>
        </is>
      </c>
      <c r="F1" s="2" t="inlineStr">
        <is>
          <t>p25</t>
        </is>
      </c>
      <c r="G1" s="2" t="inlineStr">
        <is>
          <t>p50</t>
        </is>
      </c>
      <c r="H1" s="2" t="inlineStr">
        <is>
          <t>p75</t>
        </is>
      </c>
      <c r="I1" s="2" t="inlineStr">
        <is>
          <t>p85</t>
        </is>
      </c>
      <c r="J1" s="2" t="inlineStr">
        <is>
          <t>p90</t>
        </is>
      </c>
      <c r="K1" s="2" t="inlineStr">
        <is>
          <t>p95</t>
        </is>
      </c>
      <c r="L1" s="2" t="inlineStr">
        <is>
          <t>p99</t>
        </is>
      </c>
      <c r="M1" s="2" t="inlineStr">
        <is>
          <t>wow_pct</t>
        </is>
      </c>
      <c r="N1" s="2" t="inlineStr">
        <is>
          <t>z_score</t>
        </is>
      </c>
      <c r="O1" s="2" t="inlineStr">
        <is>
          <t>up_streak_weeks</t>
        </is>
      </c>
      <c r="P1" s="2" t="inlineStr">
        <is>
          <t>warning_tags</t>
        </is>
      </c>
      <c r="Q1" s="2" t="inlineStr">
        <is>
          <t>warning_level</t>
        </is>
      </c>
      <c r="R1" s="2" t="inlineStr">
        <is>
          <t>source_note</t>
        </is>
      </c>
    </row>
    <row r="2">
      <c r="A2" t="inlineStr">
        <is>
          <t>2026-05-22</t>
        </is>
      </c>
      <c r="B2" t="inlineStr">
        <is>
          <t>欧洲航线</t>
        </is>
      </c>
      <c r="C2" t="n">
        <v>1905</v>
      </c>
      <c r="D2" t="inlineStr">
        <is>
          <t>USD/TEU</t>
        </is>
      </c>
      <c r="E2" t="inlineStr">
        <is>
          <t>A_official</t>
        </is>
      </c>
      <c r="F2" t="n">
        <v>1472.25</v>
      </c>
      <c r="G2" t="n">
        <v>1550.38</v>
      </c>
      <c r="H2" t="n">
        <v>1618.56</v>
      </c>
      <c r="I2" t="n">
        <v>1648.44</v>
      </c>
      <c r="J2" t="n">
        <v>1678.12</v>
      </c>
      <c r="K2" t="n">
        <v>1784.5</v>
      </c>
      <c r="L2" t="n">
        <v>1882.75</v>
      </c>
      <c r="M2" t="n">
        <v>4.9</v>
      </c>
      <c r="N2" t="n">
        <v>2.76</v>
      </c>
      <c r="O2" t="n">
        <v>4</v>
      </c>
      <c r="P2" t="inlineStr">
        <is>
          <t>P95高位;Z≥2异常;连续上涨≥3周</t>
        </is>
      </c>
      <c r="Q2" t="inlineStr">
        <is>
          <t>红色预警</t>
        </is>
      </c>
      <c r="R2" t="inlineStr">
        <is>
          <t>来自现有SCFI真实/公开线索与演示补全长表；C_demo_interpolation不作真实事实声明</t>
        </is>
      </c>
    </row>
    <row r="3">
      <c r="A3" t="inlineStr">
        <is>
          <t>2026-05-22</t>
        </is>
      </c>
      <c r="B3" t="inlineStr">
        <is>
          <t>地中海航线</t>
        </is>
      </c>
      <c r="C3" t="n">
        <v>3207</v>
      </c>
      <c r="D3" t="inlineStr">
        <is>
          <t>USD/TEU</t>
        </is>
      </c>
      <c r="E3" t="inlineStr">
        <is>
          <t>A_official</t>
        </is>
      </c>
      <c r="F3" t="n">
        <v>2304.51</v>
      </c>
      <c r="G3" t="n">
        <v>2432.75</v>
      </c>
      <c r="H3" t="n">
        <v>2675.65</v>
      </c>
      <c r="I3" t="n">
        <v>2891.35</v>
      </c>
      <c r="J3" t="n">
        <v>3071.1</v>
      </c>
      <c r="K3" t="n">
        <v>3144.5</v>
      </c>
      <c r="L3" t="n">
        <v>3191.5</v>
      </c>
      <c r="M3" t="n">
        <v>1.97</v>
      </c>
      <c r="N3" t="n">
        <v>2.22</v>
      </c>
      <c r="O3" t="n">
        <v>4</v>
      </c>
      <c r="P3" t="inlineStr">
        <is>
          <t>P95高位;Z≥2异常;连续上涨≥3周</t>
        </is>
      </c>
      <c r="Q3" t="inlineStr">
        <is>
          <t>红色预警</t>
        </is>
      </c>
      <c r="R3" t="inlineStr">
        <is>
          <t>来自现有SCFI真实/公开线索与演示补全长表；C_demo_interpolation不作真实事实声明</t>
        </is>
      </c>
    </row>
    <row r="4">
      <c r="A4" t="inlineStr">
        <is>
          <t>2026-05-22</t>
        </is>
      </c>
      <c r="B4" t="inlineStr">
        <is>
          <t>美西航线</t>
        </is>
      </c>
      <c r="C4" t="n">
        <v>3154</v>
      </c>
      <c r="D4" t="inlineStr">
        <is>
          <t>USD/FEU</t>
        </is>
      </c>
      <c r="E4" t="inlineStr">
        <is>
          <t>A_official</t>
        </is>
      </c>
      <c r="F4" t="n">
        <v>1924.88</v>
      </c>
      <c r="G4" t="n">
        <v>2134.75</v>
      </c>
      <c r="H4" t="n">
        <v>2510.5</v>
      </c>
      <c r="I4" t="n">
        <v>2635.5</v>
      </c>
      <c r="J4" t="n">
        <v>2766</v>
      </c>
      <c r="K4" t="n">
        <v>3045</v>
      </c>
      <c r="L4" t="n">
        <v>3145</v>
      </c>
      <c r="M4" t="n">
        <v>1.15</v>
      </c>
      <c r="N4" t="n">
        <v>2.27</v>
      </c>
      <c r="O4" t="n">
        <v>4</v>
      </c>
      <c r="P4" t="inlineStr">
        <is>
          <t>P95高位;Z≥2异常;连续上涨≥3周</t>
        </is>
      </c>
      <c r="Q4" t="inlineStr">
        <is>
          <t>红色预警</t>
        </is>
      </c>
      <c r="R4" t="inlineStr">
        <is>
          <t>来自现有SCFI真实/公开线索与演示补全长表；C_demo_interpolation不作真实事实声明</t>
        </is>
      </c>
    </row>
    <row r="5">
      <c r="A5" t="inlineStr">
        <is>
          <t>2026-05-22</t>
        </is>
      </c>
      <c r="B5" t="inlineStr">
        <is>
          <t>美东航线</t>
        </is>
      </c>
      <c r="C5" t="n">
        <v>4313</v>
      </c>
      <c r="D5" t="inlineStr">
        <is>
          <t>USD/FEU</t>
        </is>
      </c>
      <c r="E5" t="inlineStr">
        <is>
          <t>A_official</t>
        </is>
      </c>
      <c r="F5" t="n">
        <v>2707.44</v>
      </c>
      <c r="G5" t="n">
        <v>2964.38</v>
      </c>
      <c r="H5" t="n">
        <v>3468.33</v>
      </c>
      <c r="I5" t="n">
        <v>3610.75</v>
      </c>
      <c r="J5" t="n">
        <v>3751.5</v>
      </c>
      <c r="K5" t="n">
        <v>4121</v>
      </c>
      <c r="L5" t="n">
        <v>4290.75</v>
      </c>
      <c r="M5" t="n">
        <v>2.11</v>
      </c>
      <c r="N5" t="n">
        <v>2.36</v>
      </c>
      <c r="O5" t="n">
        <v>4</v>
      </c>
      <c r="P5" t="inlineStr">
        <is>
          <t>P95高位;Z≥2异常;连续上涨≥3周</t>
        </is>
      </c>
      <c r="Q5" t="inlineStr">
        <is>
          <t>红色预警</t>
        </is>
      </c>
      <c r="R5" t="inlineStr">
        <is>
          <t>来自现有SCFI真实/公开线索与演示补全长表；C_demo_interpolation不作真实事实声明</t>
        </is>
      </c>
    </row>
    <row r="6">
      <c r="A6" t="inlineStr">
        <is>
          <t>2026-05-22</t>
        </is>
      </c>
      <c r="B6" t="inlineStr">
        <is>
          <t>SCFI综合指数</t>
        </is>
      </c>
      <c r="C6" t="n">
        <v>2218.15</v>
      </c>
      <c r="D6" t="inlineStr">
        <is>
          <t>points</t>
        </is>
      </c>
      <c r="E6" t="inlineStr">
        <is>
          <t>A_official</t>
        </is>
      </c>
      <c r="F6" t="n">
        <v>1415.49</v>
      </c>
      <c r="G6" t="n">
        <v>1592.02</v>
      </c>
      <c r="H6" t="n">
        <v>1863.82</v>
      </c>
      <c r="I6" t="n">
        <v>1895.93</v>
      </c>
      <c r="J6" t="n">
        <v>1932.8</v>
      </c>
      <c r="K6" t="n">
        <v>2094.05</v>
      </c>
      <c r="L6" t="n">
        <v>2198.78</v>
      </c>
      <c r="M6" t="n">
        <v>3.62</v>
      </c>
      <c r="N6" t="n">
        <v>2.23</v>
      </c>
      <c r="O6" t="n">
        <v>4</v>
      </c>
      <c r="P6" t="inlineStr">
        <is>
          <t>P95高位;Z≥2异常;连续上涨≥3周</t>
        </is>
      </c>
      <c r="Q6" t="inlineStr">
        <is>
          <t>红色预警</t>
        </is>
      </c>
      <c r="R6" t="inlineStr">
        <is>
          <t>来自现有SCFI真实/公开线索与演示补全长表；C_demo_interpolation不作真实事实声明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  <col width="21" customWidth="1" min="7" max="7"/>
    <col width="19" customWidth="1" min="8" max="8"/>
    <col width="21" customWidth="1" min="9" max="9"/>
    <col width="19" customWidth="1" min="10" max="10"/>
    <col width="20" customWidth="1" min="11" max="11"/>
    <col width="19" customWidth="1" min="12" max="12"/>
    <col width="21" customWidth="1" min="13" max="13"/>
    <col width="12" customWidth="1" min="14" max="14"/>
    <col width="21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13" customWidth="1" min="22" max="22"/>
    <col width="13" customWidth="1" min="23" max="23"/>
    <col width="10" customWidth="1" min="24" max="24"/>
    <col width="22" customWidth="1" min="25" max="25"/>
    <col width="12" customWidth="1" min="26" max="26"/>
  </cols>
  <sheetData>
    <row r="1">
      <c r="A1" s="2" t="inlineStr">
        <is>
          <t>date</t>
        </is>
      </c>
      <c r="B1" s="2" t="inlineStr">
        <is>
          <t>SCFI综合指数</t>
        </is>
      </c>
      <c r="C1" s="2" t="inlineStr">
        <is>
          <t>地中海航线</t>
        </is>
      </c>
      <c r="D1" s="2" t="inlineStr">
        <is>
          <t>欧洲航线</t>
        </is>
      </c>
      <c r="E1" s="2" t="inlineStr">
        <is>
          <t>美东航线</t>
        </is>
      </c>
      <c r="F1" s="2" t="inlineStr">
        <is>
          <t>美西航线</t>
        </is>
      </c>
      <c r="G1" s="2" t="inlineStr">
        <is>
          <t>SCFI综合指数_wow_pct</t>
        </is>
      </c>
      <c r="H1" s="2" t="inlineStr">
        <is>
          <t>SCFI综合指数_4w_ma</t>
        </is>
      </c>
      <c r="I1" s="2" t="inlineStr">
        <is>
          <t>欧洲航线_wow_pct</t>
        </is>
      </c>
      <c r="J1" s="2" t="inlineStr">
        <is>
          <t>欧洲航线_4w_ma</t>
        </is>
      </c>
      <c r="K1" s="2" t="inlineStr">
        <is>
          <t>地中海航线_wow_pct</t>
        </is>
      </c>
      <c r="L1" s="2" t="inlineStr">
        <is>
          <t>地中海航线_4w_ma</t>
        </is>
      </c>
      <c r="M1" s="2" t="inlineStr">
        <is>
          <t>美西航线_wow_pct</t>
        </is>
      </c>
      <c r="N1" s="2" t="inlineStr">
        <is>
          <t>美西航线_4w_ma</t>
        </is>
      </c>
      <c r="O1" s="2" t="inlineStr">
        <is>
          <t>美东航线_wow_pct</t>
        </is>
      </c>
      <c r="P1" s="2" t="inlineStr">
        <is>
          <t>美东航线_4w_ma</t>
        </is>
      </c>
      <c r="Q1" s="2" t="inlineStr">
        <is>
          <t>美东-美西价差_USD_FEU</t>
        </is>
      </c>
      <c r="R1" s="2" t="inlineStr">
        <is>
          <t>地中海-欧洲价差_USD_TEU</t>
        </is>
      </c>
      <c r="S1" s="2" t="inlineStr">
        <is>
          <t>跨太平洋均价_USD_FEU</t>
        </is>
      </c>
      <c r="T1" s="2" t="inlineStr">
        <is>
          <t>亚欧均价_USD_TEU</t>
        </is>
      </c>
      <c r="U1" s="2" t="inlineStr">
        <is>
          <t>natural_week_start</t>
        </is>
      </c>
      <c r="V1" s="2" t="inlineStr">
        <is>
          <t>event_count</t>
        </is>
      </c>
      <c r="W1" s="2" t="inlineStr">
        <is>
          <t>event_types</t>
        </is>
      </c>
      <c r="X1" s="2" t="inlineStr">
        <is>
          <t>carriers</t>
        </is>
      </c>
      <c r="Y1" s="2" t="inlineStr">
        <is>
          <t>announced_amount_sum</t>
        </is>
      </c>
      <c r="Z1" s="2" t="inlineStr">
        <is>
          <t>event_flag</t>
        </is>
      </c>
    </row>
    <row r="2">
      <c r="A2" s="3" t="n">
        <v>45989</v>
      </c>
      <c r="B2" t="n">
        <v>1403.13</v>
      </c>
      <c r="C2" t="n">
        <v>2232</v>
      </c>
      <c r="D2" t="n">
        <v>1404</v>
      </c>
      <c r="E2" t="n">
        <v>2428</v>
      </c>
      <c r="F2" t="n">
        <v>1632</v>
      </c>
      <c r="Q2" t="n">
        <v>796</v>
      </c>
      <c r="R2" t="n">
        <v>828</v>
      </c>
      <c r="S2" t="n">
        <v>2030</v>
      </c>
      <c r="T2" t="n">
        <v>1818</v>
      </c>
      <c r="U2" t="inlineStr">
        <is>
          <t>2025-11-24</t>
        </is>
      </c>
      <c r="V2" t="n">
        <v>0</v>
      </c>
      <c r="Z2" t="b">
        <v>0</v>
      </c>
    </row>
    <row r="3">
      <c r="A3" s="3" t="n">
        <v>45996</v>
      </c>
      <c r="B3" t="n">
        <v>1397.63</v>
      </c>
      <c r="C3" t="n">
        <v>2300</v>
      </c>
      <c r="D3" t="n">
        <v>1400</v>
      </c>
      <c r="E3" t="n">
        <v>2315</v>
      </c>
      <c r="F3" t="n">
        <v>1550</v>
      </c>
      <c r="G3" t="n">
        <v>-0.3919807858145718</v>
      </c>
      <c r="H3" t="n">
        <v>1400.38</v>
      </c>
      <c r="I3" t="n">
        <v>-0.2849002849002802</v>
      </c>
      <c r="J3" t="n">
        <v>1402</v>
      </c>
      <c r="K3" t="n">
        <v>3.046594982078843</v>
      </c>
      <c r="L3" t="n">
        <v>2266</v>
      </c>
      <c r="M3" t="n">
        <v>-5.024509803921573</v>
      </c>
      <c r="N3" t="n">
        <v>1591</v>
      </c>
      <c r="O3" t="n">
        <v>-4.65403624382208</v>
      </c>
      <c r="P3" t="n">
        <v>2371.5</v>
      </c>
      <c r="Q3" t="n">
        <v>765</v>
      </c>
      <c r="R3" t="n">
        <v>900</v>
      </c>
      <c r="S3" t="n">
        <v>1932.5</v>
      </c>
      <c r="T3" t="n">
        <v>1850</v>
      </c>
      <c r="U3" t="inlineStr">
        <is>
          <t>2025-12-01</t>
        </is>
      </c>
      <c r="V3" t="n">
        <v>0</v>
      </c>
      <c r="Z3" t="b">
        <v>0</v>
      </c>
    </row>
    <row r="4">
      <c r="A4" s="3" t="n">
        <v>46003</v>
      </c>
      <c r="B4" t="n">
        <v>1475.275</v>
      </c>
      <c r="C4" t="n">
        <v>2566.5</v>
      </c>
      <c r="D4" t="n">
        <v>1466.5</v>
      </c>
      <c r="E4" t="n">
        <v>2580.5</v>
      </c>
      <c r="F4" t="n">
        <v>1771</v>
      </c>
      <c r="G4" t="n">
        <v>5.555476055894615</v>
      </c>
      <c r="H4" t="n">
        <v>1425.345</v>
      </c>
      <c r="I4" t="n">
        <v>4.75000000000001</v>
      </c>
      <c r="J4" t="n">
        <v>1423.5</v>
      </c>
      <c r="K4" t="n">
        <v>11.58695652173913</v>
      </c>
      <c r="L4" t="n">
        <v>2366.166666666667</v>
      </c>
      <c r="M4" t="n">
        <v>14.25806451612903</v>
      </c>
      <c r="N4" t="n">
        <v>1651</v>
      </c>
      <c r="O4" t="n">
        <v>11.46868250539956</v>
      </c>
      <c r="P4" t="n">
        <v>2441.166666666667</v>
      </c>
      <c r="Q4" t="n">
        <v>809.5</v>
      </c>
      <c r="R4" t="n">
        <v>1100</v>
      </c>
      <c r="S4" t="n">
        <v>2175.75</v>
      </c>
      <c r="T4" t="n">
        <v>2016.5</v>
      </c>
      <c r="U4" t="inlineStr">
        <is>
          <t>2025-12-08</t>
        </is>
      </c>
      <c r="V4" t="n">
        <v>0</v>
      </c>
      <c r="Z4" t="b">
        <v>0</v>
      </c>
    </row>
    <row r="5">
      <c r="A5" s="3" t="n">
        <v>46010</v>
      </c>
      <c r="B5" t="n">
        <v>1552.92</v>
      </c>
      <c r="C5" t="n">
        <v>2833</v>
      </c>
      <c r="D5" t="n">
        <v>1533</v>
      </c>
      <c r="E5" t="n">
        <v>2846</v>
      </c>
      <c r="F5" t="n">
        <v>1992</v>
      </c>
      <c r="G5" t="n">
        <v>5.263086543186857</v>
      </c>
      <c r="H5" t="n">
        <v>1457.23875</v>
      </c>
      <c r="I5" t="n">
        <v>4.534606205250591</v>
      </c>
      <c r="J5" t="n">
        <v>1450.875</v>
      </c>
      <c r="K5" t="n">
        <v>10.38379115526982</v>
      </c>
      <c r="L5" t="n">
        <v>2482.875</v>
      </c>
      <c r="M5" t="n">
        <v>12.47882552230379</v>
      </c>
      <c r="N5" t="n">
        <v>1736.25</v>
      </c>
      <c r="O5" t="n">
        <v>10.28870373958535</v>
      </c>
      <c r="P5" t="n">
        <v>2542.375</v>
      </c>
      <c r="Q5" t="n">
        <v>854</v>
      </c>
      <c r="R5" t="n">
        <v>1300</v>
      </c>
      <c r="S5" t="n">
        <v>2419</v>
      </c>
      <c r="T5" t="n">
        <v>2183</v>
      </c>
      <c r="U5" t="inlineStr">
        <is>
          <t>2025-12-15</t>
        </is>
      </c>
      <c r="V5" t="n">
        <v>0</v>
      </c>
      <c r="Z5" t="b">
        <v>0</v>
      </c>
    </row>
    <row r="6">
      <c r="A6" s="3" t="n">
        <v>46017</v>
      </c>
      <c r="B6" t="n">
        <v>1656.32</v>
      </c>
      <c r="C6" t="n">
        <v>3143</v>
      </c>
      <c r="D6" t="n">
        <v>1690</v>
      </c>
      <c r="E6" t="n">
        <v>3033</v>
      </c>
      <c r="F6" t="n">
        <v>2188</v>
      </c>
      <c r="G6" t="n">
        <v>6.658424130025997</v>
      </c>
      <c r="H6" t="n">
        <v>1520.53625</v>
      </c>
      <c r="I6" t="n">
        <v>10.24135681669929</v>
      </c>
      <c r="J6" t="n">
        <v>1522.375</v>
      </c>
      <c r="K6" t="n">
        <v>10.94246381927286</v>
      </c>
      <c r="L6" t="n">
        <v>2710.625</v>
      </c>
      <c r="M6" t="n">
        <v>9.839357429718865</v>
      </c>
      <c r="N6" t="n">
        <v>1875.25</v>
      </c>
      <c r="O6" t="n">
        <v>6.57062543921294</v>
      </c>
      <c r="P6" t="n">
        <v>2693.625</v>
      </c>
      <c r="Q6" t="n">
        <v>845</v>
      </c>
      <c r="R6" t="n">
        <v>1453</v>
      </c>
      <c r="S6" t="n">
        <v>2610.5</v>
      </c>
      <c r="T6" t="n">
        <v>2416.5</v>
      </c>
      <c r="U6" t="inlineStr">
        <is>
          <t>2025-12-22</t>
        </is>
      </c>
      <c r="V6" t="n">
        <v>0</v>
      </c>
      <c r="Z6" t="b">
        <v>0</v>
      </c>
    </row>
    <row r="7">
      <c r="A7" s="3" t="n">
        <v>46024</v>
      </c>
      <c r="B7" t="n">
        <v>1588.406</v>
      </c>
      <c r="C7" t="n">
        <v>2999.2</v>
      </c>
      <c r="D7" t="n">
        <v>1666.25</v>
      </c>
      <c r="E7" t="n">
        <v>2998.75</v>
      </c>
      <c r="F7" t="n">
        <v>2162</v>
      </c>
      <c r="G7" t="n">
        <v>-4.100294629057188</v>
      </c>
      <c r="H7" t="n">
        <v>1568.23025</v>
      </c>
      <c r="I7" t="n">
        <v>-1.405325443786987</v>
      </c>
      <c r="J7" t="n">
        <v>1588.9375</v>
      </c>
      <c r="K7" t="n">
        <v>-4.575246579700931</v>
      </c>
      <c r="L7" t="n">
        <v>2885.425</v>
      </c>
      <c r="M7" t="n">
        <v>-1.188299817184646</v>
      </c>
      <c r="N7" t="n">
        <v>2028.25</v>
      </c>
      <c r="O7" t="n">
        <v>-1.129244971974941</v>
      </c>
      <c r="P7" t="n">
        <v>2864.5625</v>
      </c>
      <c r="Q7" t="n">
        <v>836.75</v>
      </c>
      <c r="R7" t="n">
        <v>1332.95</v>
      </c>
      <c r="S7" t="n">
        <v>2580.375</v>
      </c>
      <c r="T7" t="n">
        <v>2332.725</v>
      </c>
      <c r="U7" t="inlineStr">
        <is>
          <t>2025-12-29</t>
        </is>
      </c>
      <c r="V7" t="n">
        <v>0</v>
      </c>
      <c r="Z7" t="b">
        <v>0</v>
      </c>
    </row>
    <row r="8">
      <c r="A8" s="3" t="n">
        <v>46031</v>
      </c>
      <c r="B8" t="n">
        <v>1520.492</v>
      </c>
      <c r="C8" t="n">
        <v>2855.4</v>
      </c>
      <c r="D8" t="n">
        <v>1642.5</v>
      </c>
      <c r="E8" t="n">
        <v>2964.5</v>
      </c>
      <c r="F8" t="n">
        <v>2136</v>
      </c>
      <c r="G8" t="n">
        <v>-4.275607118079384</v>
      </c>
      <c r="H8" t="n">
        <v>1579.5345</v>
      </c>
      <c r="I8" t="n">
        <v>-1.425356339084771</v>
      </c>
      <c r="J8" t="n">
        <v>1632.9375</v>
      </c>
      <c r="K8" t="n">
        <v>-4.79461189650573</v>
      </c>
      <c r="L8" t="n">
        <v>2957.65</v>
      </c>
      <c r="M8" t="n">
        <v>-1.202590194264574</v>
      </c>
      <c r="N8" t="n">
        <v>2119.5</v>
      </c>
      <c r="O8" t="n">
        <v>-1.14214255939975</v>
      </c>
      <c r="P8" t="n">
        <v>2960.5625</v>
      </c>
      <c r="Q8" t="n">
        <v>828.5</v>
      </c>
      <c r="R8" t="n">
        <v>1212.9</v>
      </c>
      <c r="S8" t="n">
        <v>2550.25</v>
      </c>
      <c r="T8" t="n">
        <v>2248.95</v>
      </c>
      <c r="U8" t="inlineStr">
        <is>
          <t>2026-01-05</t>
        </is>
      </c>
      <c r="V8" t="n">
        <v>0</v>
      </c>
      <c r="Z8" t="b">
        <v>0</v>
      </c>
    </row>
    <row r="9">
      <c r="A9" s="3" t="n">
        <v>46038</v>
      </c>
      <c r="B9" t="n">
        <v>1452.578</v>
      </c>
      <c r="C9" t="n">
        <v>2711.6</v>
      </c>
      <c r="D9" t="n">
        <v>1618.75</v>
      </c>
      <c r="E9" t="n">
        <v>2930.25</v>
      </c>
      <c r="F9" t="n">
        <v>2110</v>
      </c>
      <c r="G9" t="n">
        <v>-4.466580554189036</v>
      </c>
      <c r="H9" t="n">
        <v>1554.449</v>
      </c>
      <c r="I9" t="n">
        <v>-1.445966514459663</v>
      </c>
      <c r="J9" t="n">
        <v>1654.375</v>
      </c>
      <c r="K9" t="n">
        <v>-5.036072003922398</v>
      </c>
      <c r="L9" t="n">
        <v>2927.3</v>
      </c>
      <c r="M9" t="n">
        <v>-1.217228464419473</v>
      </c>
      <c r="N9" t="n">
        <v>2149</v>
      </c>
      <c r="O9" t="n">
        <v>-1.155338168325182</v>
      </c>
      <c r="P9" t="n">
        <v>2981.625</v>
      </c>
      <c r="Q9" t="n">
        <v>820.25</v>
      </c>
      <c r="R9" t="n">
        <v>1092.85</v>
      </c>
      <c r="S9" t="n">
        <v>2520.125</v>
      </c>
      <c r="T9" t="n">
        <v>2165.175</v>
      </c>
      <c r="U9" t="inlineStr">
        <is>
          <t>2026-01-12</t>
        </is>
      </c>
      <c r="V9" t="n">
        <v>0</v>
      </c>
      <c r="Z9" t="b">
        <v>0</v>
      </c>
    </row>
    <row r="10">
      <c r="A10" s="3" t="n">
        <v>46045</v>
      </c>
      <c r="B10" t="n">
        <v>1384.664</v>
      </c>
      <c r="C10" t="n">
        <v>2567.8</v>
      </c>
      <c r="D10" t="n">
        <v>1595</v>
      </c>
      <c r="E10" t="n">
        <v>2896</v>
      </c>
      <c r="F10" t="n">
        <v>2084</v>
      </c>
      <c r="G10" t="n">
        <v>-4.675411578586486</v>
      </c>
      <c r="H10" t="n">
        <v>1486.535</v>
      </c>
      <c r="I10" t="n">
        <v>-1.467181467181466</v>
      </c>
      <c r="J10" t="n">
        <v>1630.625</v>
      </c>
      <c r="K10" t="n">
        <v>-5.303142056350485</v>
      </c>
      <c r="L10" t="n">
        <v>2783.5</v>
      </c>
      <c r="M10" t="n">
        <v>-1.23222748815166</v>
      </c>
      <c r="N10" t="n">
        <v>2123</v>
      </c>
      <c r="O10" t="n">
        <v>-1.168842248954871</v>
      </c>
      <c r="P10" t="n">
        <v>2947.375</v>
      </c>
      <c r="Q10" t="n">
        <v>812</v>
      </c>
      <c r="R10" t="n">
        <v>972.8000000000002</v>
      </c>
      <c r="S10" t="n">
        <v>2490</v>
      </c>
      <c r="T10" t="n">
        <v>2081.4</v>
      </c>
      <c r="U10" t="inlineStr">
        <is>
          <t>2026-01-19</t>
        </is>
      </c>
      <c r="V10" t="n">
        <v>0</v>
      </c>
      <c r="Z10" t="b">
        <v>0</v>
      </c>
    </row>
    <row r="11">
      <c r="A11" s="3" t="n">
        <v>46052</v>
      </c>
      <c r="B11" t="n">
        <v>1316.75</v>
      </c>
      <c r="C11" t="n">
        <v>2424</v>
      </c>
      <c r="D11" t="n">
        <v>1418</v>
      </c>
      <c r="E11" t="n">
        <v>2605</v>
      </c>
      <c r="F11" t="n">
        <v>1867</v>
      </c>
      <c r="G11" t="n">
        <v>-4.904727789557606</v>
      </c>
      <c r="H11" t="n">
        <v>1418.621</v>
      </c>
      <c r="I11" t="n">
        <v>-11.09717868338558</v>
      </c>
      <c r="J11" t="n">
        <v>1568.5625</v>
      </c>
      <c r="K11" t="n">
        <v>-5.600124620297542</v>
      </c>
      <c r="L11" t="n">
        <v>2639.7</v>
      </c>
      <c r="M11" t="n">
        <v>-10.41266794625719</v>
      </c>
      <c r="N11" t="n">
        <v>2049.25</v>
      </c>
      <c r="O11" t="n">
        <v>-10.04834254143646</v>
      </c>
      <c r="P11" t="n">
        <v>2848.9375</v>
      </c>
      <c r="Q11" t="n">
        <v>738</v>
      </c>
      <c r="R11" t="n">
        <v>1006</v>
      </c>
      <c r="S11" t="n">
        <v>2236</v>
      </c>
      <c r="T11" t="n">
        <v>1921</v>
      </c>
      <c r="U11" t="inlineStr">
        <is>
          <t>2026-01-26</t>
        </is>
      </c>
      <c r="V11" t="n">
        <v>0</v>
      </c>
      <c r="Z11" t="b">
        <v>0</v>
      </c>
    </row>
    <row r="12">
      <c r="A12" s="3" t="n">
        <v>46059</v>
      </c>
      <c r="B12" t="n">
        <v>1266.56</v>
      </c>
      <c r="C12" t="n">
        <v>2300.5</v>
      </c>
      <c r="D12" t="n">
        <v>1403</v>
      </c>
      <c r="E12" t="n">
        <v>2530</v>
      </c>
      <c r="F12" t="n">
        <v>1801</v>
      </c>
      <c r="G12" t="n">
        <v>-3.811657490032283</v>
      </c>
      <c r="H12" t="n">
        <v>1355.138</v>
      </c>
      <c r="I12" t="n">
        <v>-1.057827926657262</v>
      </c>
      <c r="J12" t="n">
        <v>1508.6875</v>
      </c>
      <c r="K12" t="n">
        <v>-5.094884488448848</v>
      </c>
      <c r="L12" t="n">
        <v>2500.975</v>
      </c>
      <c r="M12" t="n">
        <v>-3.535083020889129</v>
      </c>
      <c r="N12" t="n">
        <v>1965.5</v>
      </c>
      <c r="O12" t="n">
        <v>-2.879078694817661</v>
      </c>
      <c r="P12" t="n">
        <v>2740.3125</v>
      </c>
      <c r="Q12" t="n">
        <v>729</v>
      </c>
      <c r="R12" t="n">
        <v>897.5</v>
      </c>
      <c r="S12" t="n">
        <v>2165.5</v>
      </c>
      <c r="T12" t="n">
        <v>1851.75</v>
      </c>
      <c r="U12" t="inlineStr">
        <is>
          <t>2026-02-02</t>
        </is>
      </c>
      <c r="V12" t="n">
        <v>0</v>
      </c>
      <c r="Z12" t="b">
        <v>0</v>
      </c>
    </row>
    <row r="13">
      <c r="A13" s="3" t="n">
        <v>46066</v>
      </c>
      <c r="B13" t="n">
        <v>1251.46</v>
      </c>
      <c r="C13" t="n">
        <v>2177</v>
      </c>
      <c r="D13" t="n">
        <v>1361</v>
      </c>
      <c r="E13" t="n">
        <v>2524</v>
      </c>
      <c r="F13" t="n">
        <v>1787</v>
      </c>
      <c r="G13" t="n">
        <v>-1.192205659423939</v>
      </c>
      <c r="H13" t="n">
        <v>1304.8585</v>
      </c>
      <c r="I13" t="n">
        <v>-2.993585174625801</v>
      </c>
      <c r="J13" t="n">
        <v>1444.25</v>
      </c>
      <c r="K13" t="n">
        <v>-5.368398174309929</v>
      </c>
      <c r="L13" t="n">
        <v>2367.325</v>
      </c>
      <c r="M13" t="n">
        <v>-0.7773459189339249</v>
      </c>
      <c r="N13" t="n">
        <v>1884.75</v>
      </c>
      <c r="O13" t="n">
        <v>-0.2371541501976271</v>
      </c>
      <c r="P13" t="n">
        <v>2638.75</v>
      </c>
      <c r="Q13" t="n">
        <v>737</v>
      </c>
      <c r="R13" t="n">
        <v>816</v>
      </c>
      <c r="S13" t="n">
        <v>2155.5</v>
      </c>
      <c r="T13" t="n">
        <v>1769</v>
      </c>
      <c r="U13" t="inlineStr">
        <is>
          <t>2026-02-09</t>
        </is>
      </c>
      <c r="V13" t="n">
        <v>0</v>
      </c>
      <c r="Z13" t="b">
        <v>0</v>
      </c>
    </row>
    <row r="14">
      <c r="A14" s="3" t="n">
        <v>46073</v>
      </c>
      <c r="B14" t="n">
        <v>1366.1825</v>
      </c>
      <c r="C14" t="n">
        <v>2211.888888888889</v>
      </c>
      <c r="D14" t="n">
        <v>1425.25</v>
      </c>
      <c r="E14" t="n">
        <v>2670.75</v>
      </c>
      <c r="F14" t="n">
        <v>1902.5</v>
      </c>
      <c r="G14" t="n">
        <v>9.167092835568049</v>
      </c>
      <c r="H14" t="n">
        <v>1300.238125</v>
      </c>
      <c r="I14" t="n">
        <v>4.720793534166057</v>
      </c>
      <c r="J14" t="n">
        <v>1401.8125</v>
      </c>
      <c r="K14" t="n">
        <v>1.602613178175871</v>
      </c>
      <c r="L14" t="n">
        <v>2278.347222222222</v>
      </c>
      <c r="M14" t="n">
        <v>6.463346390598779</v>
      </c>
      <c r="N14" t="n">
        <v>1839.375</v>
      </c>
      <c r="O14" t="n">
        <v>5.814183835182241</v>
      </c>
      <c r="P14" t="n">
        <v>2582.4375</v>
      </c>
      <c r="Q14" t="n">
        <v>768.25</v>
      </c>
      <c r="R14" t="n">
        <v>786.6388888888887</v>
      </c>
      <c r="S14" t="n">
        <v>2286.625</v>
      </c>
      <c r="T14" t="n">
        <v>1818.569444444444</v>
      </c>
      <c r="U14" t="inlineStr">
        <is>
          <t>2026-02-16</t>
        </is>
      </c>
      <c r="V14" t="n">
        <v>0</v>
      </c>
      <c r="Z14" t="b">
        <v>0</v>
      </c>
    </row>
    <row r="15">
      <c r="A15" s="3" t="n">
        <v>46080</v>
      </c>
      <c r="B15" t="n">
        <v>1480.905</v>
      </c>
      <c r="C15" t="n">
        <v>2246.777777777778</v>
      </c>
      <c r="D15" t="n">
        <v>1489.5</v>
      </c>
      <c r="E15" t="n">
        <v>2817.5</v>
      </c>
      <c r="F15" t="n">
        <v>2018</v>
      </c>
      <c r="G15" t="n">
        <v>8.39730416690303</v>
      </c>
      <c r="H15" t="n">
        <v>1341.276875</v>
      </c>
      <c r="I15" t="n">
        <v>4.50798105595509</v>
      </c>
      <c r="J15" t="n">
        <v>1419.6875</v>
      </c>
      <c r="K15" t="n">
        <v>1.577334605917535</v>
      </c>
      <c r="L15" t="n">
        <v>2234.041666666667</v>
      </c>
      <c r="M15" t="n">
        <v>6.070959264126152</v>
      </c>
      <c r="N15" t="n">
        <v>1877.125</v>
      </c>
      <c r="O15" t="n">
        <v>5.494711223439119</v>
      </c>
      <c r="P15" t="n">
        <v>2635.5625</v>
      </c>
      <c r="Q15" t="n">
        <v>799.5</v>
      </c>
      <c r="R15" t="n">
        <v>757.2777777777778</v>
      </c>
      <c r="S15" t="n">
        <v>2417.75</v>
      </c>
      <c r="T15" t="n">
        <v>1868.138888888889</v>
      </c>
      <c r="U15" t="inlineStr">
        <is>
          <t>2026-02-23</t>
        </is>
      </c>
      <c r="V15" t="n">
        <v>0</v>
      </c>
      <c r="Z15" t="b">
        <v>0</v>
      </c>
    </row>
    <row r="16">
      <c r="A16" s="3" t="n">
        <v>46087</v>
      </c>
      <c r="B16" t="n">
        <v>1595.6275</v>
      </c>
      <c r="C16" t="n">
        <v>2281.666666666667</v>
      </c>
      <c r="D16" t="n">
        <v>1553.75</v>
      </c>
      <c r="E16" t="n">
        <v>2964.25</v>
      </c>
      <c r="F16" t="n">
        <v>2133.5</v>
      </c>
      <c r="G16" t="n">
        <v>7.746783217019337</v>
      </c>
      <c r="H16" t="n">
        <v>1423.54375</v>
      </c>
      <c r="I16" t="n">
        <v>4.313528029540104</v>
      </c>
      <c r="J16" t="n">
        <v>1457.375</v>
      </c>
      <c r="K16" t="n">
        <v>1.552841105781111</v>
      </c>
      <c r="L16" t="n">
        <v>2229.333333333333</v>
      </c>
      <c r="M16" t="n">
        <v>5.723488602576809</v>
      </c>
      <c r="N16" t="n">
        <v>1960.25</v>
      </c>
      <c r="O16" t="n">
        <v>5.208518189884659</v>
      </c>
      <c r="P16" t="n">
        <v>2744.125</v>
      </c>
      <c r="Q16" t="n">
        <v>830.75</v>
      </c>
      <c r="R16" t="n">
        <v>727.9166666666665</v>
      </c>
      <c r="S16" t="n">
        <v>2548.875</v>
      </c>
      <c r="T16" t="n">
        <v>1917.708333333333</v>
      </c>
      <c r="U16" t="inlineStr">
        <is>
          <t>2026-03-02</t>
        </is>
      </c>
      <c r="V16" t="n">
        <v>0</v>
      </c>
      <c r="Z16" t="b">
        <v>0</v>
      </c>
    </row>
    <row r="17">
      <c r="A17" s="3" t="n">
        <v>46094</v>
      </c>
      <c r="B17" t="n">
        <v>1710.35</v>
      </c>
      <c r="C17" t="n">
        <v>2316.555555555556</v>
      </c>
      <c r="D17" t="n">
        <v>1618</v>
      </c>
      <c r="E17" t="n">
        <v>3111</v>
      </c>
      <c r="F17" t="n">
        <v>2249</v>
      </c>
      <c r="G17" t="n">
        <v>7.18980463798724</v>
      </c>
      <c r="H17" t="n">
        <v>1538.26625</v>
      </c>
      <c r="I17" t="n">
        <v>4.135156878519708</v>
      </c>
      <c r="J17" t="n">
        <v>1521.625</v>
      </c>
      <c r="K17" t="n">
        <v>1.529096664231822</v>
      </c>
      <c r="L17" t="n">
        <v>2264.222222222222</v>
      </c>
      <c r="M17" t="n">
        <v>5.413639559409411</v>
      </c>
      <c r="N17" t="n">
        <v>2075.75</v>
      </c>
      <c r="O17" t="n">
        <v>4.950662056169342</v>
      </c>
      <c r="P17" t="n">
        <v>2890.875</v>
      </c>
      <c r="Q17" t="n">
        <v>862</v>
      </c>
      <c r="R17" t="n">
        <v>698.5555555555557</v>
      </c>
      <c r="S17" t="n">
        <v>2680</v>
      </c>
      <c r="T17" t="n">
        <v>1967.277777777778</v>
      </c>
      <c r="U17" t="inlineStr">
        <is>
          <t>2026-03-09</t>
        </is>
      </c>
      <c r="V17" t="n">
        <v>0</v>
      </c>
      <c r="Z17" t="b">
        <v>0</v>
      </c>
    </row>
    <row r="18">
      <c r="A18" s="3" t="n">
        <v>46101</v>
      </c>
      <c r="B18" t="n">
        <v>1706.95</v>
      </c>
      <c r="C18" t="n">
        <v>2351.444444444444</v>
      </c>
      <c r="D18" t="n">
        <v>1636</v>
      </c>
      <c r="E18" t="n">
        <v>2922</v>
      </c>
      <c r="F18" t="n">
        <v>2054</v>
      </c>
      <c r="G18" t="n">
        <v>-0.1987897214020484</v>
      </c>
      <c r="H18" t="n">
        <v>1623.458125</v>
      </c>
      <c r="I18" t="n">
        <v>1.11248454882571</v>
      </c>
      <c r="J18" t="n">
        <v>1574.3125</v>
      </c>
      <c r="K18" t="n">
        <v>1.506067437287162</v>
      </c>
      <c r="L18" t="n">
        <v>2299.111111111112</v>
      </c>
      <c r="M18" t="n">
        <v>-8.670520231213874</v>
      </c>
      <c r="N18" t="n">
        <v>2113.625</v>
      </c>
      <c r="O18" t="n">
        <v>-6.075216972034713</v>
      </c>
      <c r="P18" t="n">
        <v>2953.6875</v>
      </c>
      <c r="Q18" t="n">
        <v>868</v>
      </c>
      <c r="R18" t="n">
        <v>715.4444444444443</v>
      </c>
      <c r="S18" t="n">
        <v>2488</v>
      </c>
      <c r="T18" t="n">
        <v>1993.722222222222</v>
      </c>
      <c r="U18" t="inlineStr">
        <is>
          <t>2026-03-16</t>
        </is>
      </c>
      <c r="V18" t="n">
        <v>0</v>
      </c>
      <c r="Z18" t="b">
        <v>0</v>
      </c>
    </row>
    <row r="19">
      <c r="A19" s="3" t="n">
        <v>46108</v>
      </c>
      <c r="B19" t="n">
        <v>1768.223333333333</v>
      </c>
      <c r="C19" t="n">
        <v>2386.333333333333</v>
      </c>
      <c r="D19" t="n">
        <v>1606.333333333333</v>
      </c>
      <c r="E19" t="n">
        <v>3120.666666666667</v>
      </c>
      <c r="F19" t="n">
        <v>2220</v>
      </c>
      <c r="G19" t="n">
        <v>3.589638438931031</v>
      </c>
      <c r="H19" t="n">
        <v>1695.287708333333</v>
      </c>
      <c r="I19" t="n">
        <v>-1.813365933170341</v>
      </c>
      <c r="J19" t="n">
        <v>1603.520833333333</v>
      </c>
      <c r="K19" t="n">
        <v>1.483721589566711</v>
      </c>
      <c r="L19" t="n">
        <v>2334</v>
      </c>
      <c r="M19" t="n">
        <v>8.081791626095413</v>
      </c>
      <c r="N19" t="n">
        <v>2164.125</v>
      </c>
      <c r="O19" t="n">
        <v>6.798996121378043</v>
      </c>
      <c r="P19" t="n">
        <v>3029.479166666667</v>
      </c>
      <c r="Q19" t="n">
        <v>900.6666666666665</v>
      </c>
      <c r="R19" t="n">
        <v>780.0000000000002</v>
      </c>
      <c r="S19" t="n">
        <v>2670.333333333333</v>
      </c>
      <c r="T19" t="n">
        <v>1996.333333333333</v>
      </c>
      <c r="U19" t="inlineStr">
        <is>
          <t>2026-03-23</t>
        </is>
      </c>
      <c r="V19" t="n">
        <v>0</v>
      </c>
      <c r="Z19" t="b">
        <v>0</v>
      </c>
    </row>
    <row r="20">
      <c r="A20" s="3" t="n">
        <v>46115</v>
      </c>
      <c r="B20" t="n">
        <v>1829.496666666667</v>
      </c>
      <c r="C20" t="n">
        <v>2421.222222222222</v>
      </c>
      <c r="D20" t="n">
        <v>1576.666666666667</v>
      </c>
      <c r="E20" t="n">
        <v>3319.333333333333</v>
      </c>
      <c r="F20" t="n">
        <v>2386</v>
      </c>
      <c r="G20" t="n">
        <v>3.465248545149846</v>
      </c>
      <c r="H20" t="n">
        <v>1753.755</v>
      </c>
      <c r="I20" t="n">
        <v>-1.846856194231161</v>
      </c>
      <c r="J20" t="n">
        <v>1609.25</v>
      </c>
      <c r="K20" t="n">
        <v>1.462029147460076</v>
      </c>
      <c r="L20" t="n">
        <v>2368.888888888889</v>
      </c>
      <c r="M20" t="n">
        <v>7.477477477477468</v>
      </c>
      <c r="N20" t="n">
        <v>2227.25</v>
      </c>
      <c r="O20" t="n">
        <v>6.366161076693033</v>
      </c>
      <c r="P20" t="n">
        <v>3118.25</v>
      </c>
      <c r="Q20" t="n">
        <v>933.3333333333336</v>
      </c>
      <c r="R20" t="n">
        <v>844.5555555555554</v>
      </c>
      <c r="S20" t="n">
        <v>2852.666666666667</v>
      </c>
      <c r="T20" t="n">
        <v>1998.944444444444</v>
      </c>
      <c r="U20" t="inlineStr">
        <is>
          <t>2026-03-30</t>
        </is>
      </c>
      <c r="V20" t="n">
        <v>0</v>
      </c>
      <c r="Z20" t="b">
        <v>0</v>
      </c>
    </row>
    <row r="21">
      <c r="A21" s="3" t="n">
        <v>46122</v>
      </c>
      <c r="B21" t="n">
        <v>1890.77</v>
      </c>
      <c r="C21" t="n">
        <v>2456.111111111112</v>
      </c>
      <c r="D21" t="n">
        <v>1547</v>
      </c>
      <c r="E21" t="n">
        <v>3518</v>
      </c>
      <c r="F21" t="n">
        <v>2552</v>
      </c>
      <c r="G21" t="n">
        <v>3.349190761028997</v>
      </c>
      <c r="H21" t="n">
        <v>1798.86</v>
      </c>
      <c r="I21" t="n">
        <v>-1.881606765327704</v>
      </c>
      <c r="J21" t="n">
        <v>1591.5</v>
      </c>
      <c r="K21" t="n">
        <v>1.440961864990142</v>
      </c>
      <c r="L21" t="n">
        <v>2403.777777777778</v>
      </c>
      <c r="M21" t="n">
        <v>6.957250628667233</v>
      </c>
      <c r="N21" t="n">
        <v>2303</v>
      </c>
      <c r="O21" t="n">
        <v>5.98513757782686</v>
      </c>
      <c r="P21" t="n">
        <v>3220</v>
      </c>
      <c r="Q21" t="n">
        <v>966</v>
      </c>
      <c r="R21" t="n">
        <v>909.1111111111112</v>
      </c>
      <c r="S21" t="n">
        <v>3035</v>
      </c>
      <c r="T21" t="n">
        <v>2001.555555555556</v>
      </c>
      <c r="U21" t="inlineStr">
        <is>
          <t>2026-04-06</t>
        </is>
      </c>
      <c r="V21" t="n">
        <v>0</v>
      </c>
      <c r="Z21" t="b">
        <v>0</v>
      </c>
    </row>
    <row r="22">
      <c r="A22" s="3" t="n">
        <v>46129</v>
      </c>
      <c r="B22" t="n">
        <v>1886.54</v>
      </c>
      <c r="C22" t="n">
        <v>2491</v>
      </c>
      <c r="D22" t="n">
        <v>1501</v>
      </c>
      <c r="E22" t="n">
        <v>3584</v>
      </c>
      <c r="F22" t="n">
        <v>2612</v>
      </c>
      <c r="G22" t="n">
        <v>-0.223718379284632</v>
      </c>
      <c r="H22" t="n">
        <v>1843.7575</v>
      </c>
      <c r="I22" t="n">
        <v>-2.973497091144151</v>
      </c>
      <c r="J22" t="n">
        <v>1557.75</v>
      </c>
      <c r="K22" t="n">
        <v>1.420493101108344</v>
      </c>
      <c r="L22" t="n">
        <v>2438.666666666667</v>
      </c>
      <c r="M22" t="n">
        <v>2.351097178683381</v>
      </c>
      <c r="N22" t="n">
        <v>2442.5</v>
      </c>
      <c r="O22" t="n">
        <v>1.876065946560557</v>
      </c>
      <c r="P22" t="n">
        <v>3385.5</v>
      </c>
      <c r="Q22" t="n">
        <v>972</v>
      </c>
      <c r="R22" t="n">
        <v>990</v>
      </c>
      <c r="S22" t="n">
        <v>3098</v>
      </c>
      <c r="T22" t="n">
        <v>1996</v>
      </c>
      <c r="U22" t="inlineStr">
        <is>
          <t>2026-04-13</t>
        </is>
      </c>
      <c r="V22" t="n">
        <v>0</v>
      </c>
      <c r="Z22" t="b">
        <v>0</v>
      </c>
    </row>
    <row r="23">
      <c r="A23" s="3" t="n">
        <v>46136</v>
      </c>
      <c r="B23" t="n">
        <v>1875.26</v>
      </c>
      <c r="C23" t="n">
        <v>2420</v>
      </c>
      <c r="D23" t="n">
        <v>1497</v>
      </c>
      <c r="E23" t="n">
        <v>3570</v>
      </c>
      <c r="F23" t="n">
        <v>2586</v>
      </c>
      <c r="G23" t="n">
        <v>-0.5979200016962283</v>
      </c>
      <c r="H23" t="n">
        <v>1870.516666666667</v>
      </c>
      <c r="I23" t="n">
        <v>-0.266489007328452</v>
      </c>
      <c r="J23" t="n">
        <v>1530.416666666667</v>
      </c>
      <c r="K23" t="n">
        <v>-2.850260939381777</v>
      </c>
      <c r="L23" t="n">
        <v>2447.083333333333</v>
      </c>
      <c r="M23" t="n">
        <v>-0.9954058192955584</v>
      </c>
      <c r="N23" t="n">
        <v>2534</v>
      </c>
      <c r="O23" t="n">
        <v>-0.390625</v>
      </c>
      <c r="P23" t="n">
        <v>3497.833333333333</v>
      </c>
      <c r="Q23" t="n">
        <v>984</v>
      </c>
      <c r="R23" t="n">
        <v>923</v>
      </c>
      <c r="S23" t="n">
        <v>3078</v>
      </c>
      <c r="T23" t="n">
        <v>1958.5</v>
      </c>
      <c r="U23" t="inlineStr">
        <is>
          <t>2026-04-20</t>
        </is>
      </c>
      <c r="V23" t="n">
        <v>0</v>
      </c>
      <c r="Z23" t="b">
        <v>0</v>
      </c>
    </row>
    <row r="24">
      <c r="A24" s="3" t="n">
        <v>46143</v>
      </c>
      <c r="B24" t="n">
        <v>1911.4</v>
      </c>
      <c r="C24" t="n">
        <v>2441.5</v>
      </c>
      <c r="D24" t="n">
        <v>1546.5</v>
      </c>
      <c r="E24" t="n">
        <v>3691</v>
      </c>
      <c r="F24" t="n">
        <v>2706</v>
      </c>
      <c r="G24" t="n">
        <v>1.927199428345938</v>
      </c>
      <c r="H24" t="n">
        <v>1890.9925</v>
      </c>
      <c r="I24" t="n">
        <v>3.306613226452915</v>
      </c>
      <c r="J24" t="n">
        <v>1522.875</v>
      </c>
      <c r="K24" t="n">
        <v>0.8884297520661111</v>
      </c>
      <c r="L24" t="n">
        <v>2452.152777777778</v>
      </c>
      <c r="M24" t="n">
        <v>4.640371229698381</v>
      </c>
      <c r="N24" t="n">
        <v>2614</v>
      </c>
      <c r="O24" t="n">
        <v>3.389355742296929</v>
      </c>
      <c r="P24" t="n">
        <v>3590.75</v>
      </c>
      <c r="Q24" t="n">
        <v>985</v>
      </c>
      <c r="R24" t="n">
        <v>895</v>
      </c>
      <c r="S24" t="n">
        <v>3198.5</v>
      </c>
      <c r="T24" t="n">
        <v>1994</v>
      </c>
      <c r="U24" t="inlineStr">
        <is>
          <t>2026-04-27</t>
        </is>
      </c>
      <c r="V24" t="n">
        <v>0</v>
      </c>
      <c r="Z24" t="b">
        <v>0</v>
      </c>
    </row>
    <row r="25">
      <c r="A25" s="3" t="n">
        <v>46150</v>
      </c>
      <c r="B25" t="n">
        <v>1954.21</v>
      </c>
      <c r="C25" t="n">
        <v>2463</v>
      </c>
      <c r="D25" t="n">
        <v>1596</v>
      </c>
      <c r="E25" t="n">
        <v>3812</v>
      </c>
      <c r="F25" t="n">
        <v>2826</v>
      </c>
      <c r="G25" t="n">
        <v>2.239719577273203</v>
      </c>
      <c r="H25" t="n">
        <v>1906.8525</v>
      </c>
      <c r="I25" t="n">
        <v>3.200775945683798</v>
      </c>
      <c r="J25" t="n">
        <v>1535.125</v>
      </c>
      <c r="K25" t="n">
        <v>0.8806061847224989</v>
      </c>
      <c r="L25" t="n">
        <v>2453.875</v>
      </c>
      <c r="M25" t="n">
        <v>4.434589800443467</v>
      </c>
      <c r="N25" t="n">
        <v>2682.5</v>
      </c>
      <c r="O25" t="n">
        <v>3.278244378217288</v>
      </c>
      <c r="P25" t="n">
        <v>3664.25</v>
      </c>
      <c r="Q25" t="n">
        <v>986</v>
      </c>
      <c r="R25" t="n">
        <v>867</v>
      </c>
      <c r="S25" t="n">
        <v>3319</v>
      </c>
      <c r="T25" t="n">
        <v>2029.5</v>
      </c>
      <c r="U25" t="inlineStr">
        <is>
          <t>2026-05-04</t>
        </is>
      </c>
      <c r="V25" t="n">
        <v>0</v>
      </c>
      <c r="Z25" t="b">
        <v>0</v>
      </c>
    </row>
    <row r="26">
      <c r="A26" s="3" t="n">
        <v>46157</v>
      </c>
      <c r="B26" t="n">
        <v>2140.66</v>
      </c>
      <c r="C26" t="n">
        <v>3145</v>
      </c>
      <c r="D26" t="n">
        <v>1816</v>
      </c>
      <c r="E26" t="n">
        <v>4224</v>
      </c>
      <c r="F26" t="n">
        <v>3118</v>
      </c>
      <c r="G26" t="n">
        <v>9.540939817112791</v>
      </c>
      <c r="H26" t="n">
        <v>1970.3825</v>
      </c>
      <c r="I26" t="n">
        <v>13.78446115288221</v>
      </c>
      <c r="J26" t="n">
        <v>1613.875</v>
      </c>
      <c r="K26" t="n">
        <v>27.68980917580186</v>
      </c>
      <c r="L26" t="n">
        <v>2617.375</v>
      </c>
      <c r="M26" t="n">
        <v>10.33262561924981</v>
      </c>
      <c r="N26" t="n">
        <v>2809</v>
      </c>
      <c r="O26" t="n">
        <v>10.80797481636937</v>
      </c>
      <c r="P26" t="n">
        <v>3824.25</v>
      </c>
      <c r="Q26" t="n">
        <v>1106</v>
      </c>
      <c r="R26" t="n">
        <v>1329</v>
      </c>
      <c r="S26" t="n">
        <v>3671</v>
      </c>
      <c r="T26" t="n">
        <v>2480.5</v>
      </c>
      <c r="U26" t="inlineStr">
        <is>
          <t>2026-05-11</t>
        </is>
      </c>
      <c r="V26" t="n">
        <v>0</v>
      </c>
      <c r="Z26" t="b">
        <v>0</v>
      </c>
    </row>
    <row r="27">
      <c r="A27" s="3" t="n">
        <v>46164</v>
      </c>
      <c r="B27" t="n">
        <v>2218.15</v>
      </c>
      <c r="C27" t="n">
        <v>3207</v>
      </c>
      <c r="D27" t="n">
        <v>1905</v>
      </c>
      <c r="E27" t="n">
        <v>4313</v>
      </c>
      <c r="F27" t="n">
        <v>3154</v>
      </c>
      <c r="G27" t="n">
        <v>3.61991161604367</v>
      </c>
      <c r="H27" t="n">
        <v>2056.105</v>
      </c>
      <c r="I27" t="n">
        <v>4.900881057268713</v>
      </c>
      <c r="J27" t="n">
        <v>1715.875</v>
      </c>
      <c r="K27" t="n">
        <v>1.971383147853745</v>
      </c>
      <c r="L27" t="n">
        <v>2814.125</v>
      </c>
      <c r="M27" t="n">
        <v>1.15458627325209</v>
      </c>
      <c r="N27" t="n">
        <v>2951</v>
      </c>
      <c r="O27" t="n">
        <v>2.107007575757569</v>
      </c>
      <c r="P27" t="n">
        <v>4010</v>
      </c>
      <c r="Q27" t="n">
        <v>1159</v>
      </c>
      <c r="R27" t="n">
        <v>1302</v>
      </c>
      <c r="S27" t="n">
        <v>3733.5</v>
      </c>
      <c r="T27" t="n">
        <v>2556</v>
      </c>
      <c r="U27" t="inlineStr">
        <is>
          <t>2026-05-18</t>
        </is>
      </c>
      <c r="V27" t="n">
        <v>1</v>
      </c>
      <c r="W27" t="inlineStr">
        <is>
          <t>PSS</t>
        </is>
      </c>
      <c r="X27" t="inlineStr">
        <is>
          <t>Maersk</t>
        </is>
      </c>
      <c r="Y27" t="n">
        <v>1000</v>
      </c>
      <c r="Z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2" customWidth="1" min="4" max="4"/>
    <col width="16" customWidth="1" min="5" max="5"/>
    <col width="21" customWidth="1" min="6" max="6"/>
    <col width="10" customWidth="1" min="7" max="7"/>
    <col width="40" customWidth="1" min="8" max="8"/>
    <col width="42" customWidth="1" min="9" max="9"/>
    <col width="16" customWidth="1" min="10" max="10"/>
    <col width="42" customWidth="1" min="11" max="11"/>
    <col width="42" customWidth="1" min="12" max="12"/>
    <col width="42" customWidth="1" min="13" max="13"/>
  </cols>
  <sheetData>
    <row r="1">
      <c r="A1" s="2" t="inlineStr">
        <is>
          <t>date</t>
        </is>
      </c>
      <c r="B1" s="2" t="inlineStr">
        <is>
          <t>natural_week_start</t>
        </is>
      </c>
      <c r="C1" s="2" t="inlineStr">
        <is>
          <t>natural_week_end</t>
        </is>
      </c>
      <c r="D1" s="2" t="inlineStr">
        <is>
          <t>route_name</t>
        </is>
      </c>
      <c r="E1" s="2" t="inlineStr">
        <is>
          <t>observed_value</t>
        </is>
      </c>
      <c r="F1" s="2" t="inlineStr">
        <is>
          <t>value_used_for_demo</t>
        </is>
      </c>
      <c r="G1" s="2" t="inlineStr">
        <is>
          <t>unit</t>
        </is>
      </c>
      <c r="H1" s="2" t="inlineStr">
        <is>
          <t>source_value_layer</t>
        </is>
      </c>
      <c r="I1" s="2" t="inlineStr">
        <is>
          <t>demo_fill_method</t>
        </is>
      </c>
      <c r="J1" s="2" t="inlineStr">
        <is>
          <t>is_demo_filled</t>
        </is>
      </c>
      <c r="K1" s="2" t="inlineStr">
        <is>
          <t>data_quality_level</t>
        </is>
      </c>
      <c r="L1" s="2" t="inlineStr">
        <is>
          <t>record_status</t>
        </is>
      </c>
      <c r="M1" s="2" t="inlineStr">
        <is>
          <t>source_type</t>
        </is>
      </c>
    </row>
    <row r="2">
      <c r="A2" s="3" t="n">
        <v>45989</v>
      </c>
      <c r="B2" t="inlineStr">
        <is>
          <t>2025-11-24</t>
        </is>
      </c>
      <c r="C2" t="inlineStr">
        <is>
          <t>2025-11-30</t>
        </is>
      </c>
      <c r="D2" t="inlineStr">
        <is>
          <t>SCFI综合指数</t>
        </is>
      </c>
      <c r="E2" t="n">
        <v>1403.13</v>
      </c>
      <c r="F2" t="n">
        <v>1403.13</v>
      </c>
      <c r="G2" t="inlineStr">
        <is>
          <t>points</t>
        </is>
      </c>
      <c r="H2" t="inlineStr">
        <is>
          <t>A/B_public_observed_or_pending_recheck</t>
        </is>
      </c>
      <c r="I2" t="inlineStr">
        <is>
          <t>observed_value_kept</t>
        </is>
      </c>
      <c r="J2" t="b">
        <v>0</v>
      </c>
      <c r="K2" t="inlineStr">
        <is>
          <t>B</t>
        </is>
      </c>
      <c r="L2" t="inlineStr">
        <is>
          <t>collected_public_excerpt</t>
        </is>
      </c>
      <c r="M2" t="inlineStr">
        <is>
          <t>batch03_04_public_excerpt</t>
        </is>
      </c>
    </row>
    <row r="3">
      <c r="A3" s="3" t="n">
        <v>45996</v>
      </c>
      <c r="B3" t="inlineStr">
        <is>
          <t>2025-12-01</t>
        </is>
      </c>
      <c r="C3" t="inlineStr">
        <is>
          <t>2025-12-07</t>
        </is>
      </c>
      <c r="D3" t="inlineStr">
        <is>
          <t>SCFI综合指数</t>
        </is>
      </c>
      <c r="E3" t="n">
        <v>1397.63</v>
      </c>
      <c r="F3" t="n">
        <v>1397.63</v>
      </c>
      <c r="G3" t="inlineStr">
        <is>
          <t>points</t>
        </is>
      </c>
      <c r="H3" t="inlineStr">
        <is>
          <t>A/B_public_observed_or_pending_recheck</t>
        </is>
      </c>
      <c r="I3" t="inlineStr">
        <is>
          <t>observed_value_kept</t>
        </is>
      </c>
      <c r="J3" t="b">
        <v>0</v>
      </c>
      <c r="K3" t="inlineStr">
        <is>
          <t>B</t>
        </is>
      </c>
      <c r="L3" t="inlineStr">
        <is>
          <t>collected_public_excerpt</t>
        </is>
      </c>
      <c r="M3" t="inlineStr">
        <is>
          <t>batch03_04_public_excerpt</t>
        </is>
      </c>
    </row>
    <row r="4">
      <c r="A4" s="3" t="n">
        <v>46003</v>
      </c>
      <c r="B4" t="inlineStr">
        <is>
          <t>2025-12-08</t>
        </is>
      </c>
      <c r="C4" t="inlineStr">
        <is>
          <t>2025-12-14</t>
        </is>
      </c>
      <c r="D4" t="inlineStr">
        <is>
          <t>SCFI综合指数</t>
        </is>
      </c>
      <c r="F4" t="n">
        <v>1475.275</v>
      </c>
      <c r="G4" t="inlineStr">
        <is>
          <t>points</t>
        </is>
      </c>
      <c r="H4" t="inlineStr">
        <is>
          <t>demo_interpolation_fill</t>
        </is>
      </c>
      <c r="I4" t="inlineStr">
        <is>
          <t>linear_interpolation_or_boundary_nearest</t>
        </is>
      </c>
      <c r="J4" t="b">
        <v>1</v>
      </c>
      <c r="K4" t="inlineStr">
        <is>
          <t>PENDING</t>
        </is>
      </c>
      <c r="L4" t="inlineStr">
        <is>
          <t>placeholder_pending</t>
        </is>
      </c>
      <c r="M4" t="inlineStr">
        <is>
          <t>placeholder</t>
        </is>
      </c>
    </row>
    <row r="5">
      <c r="A5" s="3" t="n">
        <v>46010</v>
      </c>
      <c r="B5" t="inlineStr">
        <is>
          <t>2025-12-15</t>
        </is>
      </c>
      <c r="C5" t="inlineStr">
        <is>
          <t>2025-12-21</t>
        </is>
      </c>
      <c r="D5" t="inlineStr">
        <is>
          <t>SCFI综合指数</t>
        </is>
      </c>
      <c r="E5" t="n">
        <v>1552.92</v>
      </c>
      <c r="F5" t="n">
        <v>1552.92</v>
      </c>
      <c r="G5" t="inlineStr">
        <is>
          <t>points</t>
        </is>
      </c>
      <c r="H5" t="inlineStr">
        <is>
          <t>A/B_public_observed_or_pending_recheck</t>
        </is>
      </c>
      <c r="I5" t="inlineStr">
        <is>
          <t>observed_value_kept</t>
        </is>
      </c>
      <c r="J5" t="b">
        <v>0</v>
      </c>
      <c r="K5" t="inlineStr">
        <is>
          <t>B</t>
        </is>
      </c>
      <c r="L5" t="inlineStr">
        <is>
          <t>collected_public_excerpt</t>
        </is>
      </c>
      <c r="M5" t="inlineStr">
        <is>
          <t>batch03_04_public_excerpt</t>
        </is>
      </c>
    </row>
    <row r="6">
      <c r="A6" s="3" t="n">
        <v>46017</v>
      </c>
      <c r="B6" t="inlineStr">
        <is>
          <t>2025-12-22</t>
        </is>
      </c>
      <c r="C6" t="inlineStr">
        <is>
          <t>2025-12-28</t>
        </is>
      </c>
      <c r="D6" t="inlineStr">
        <is>
          <t>SCFI综合指数</t>
        </is>
      </c>
      <c r="E6" t="n">
        <v>1656.32</v>
      </c>
      <c r="F6" t="n">
        <v>1656.32</v>
      </c>
      <c r="G6" t="inlineStr">
        <is>
          <t>points</t>
        </is>
      </c>
      <c r="H6" t="inlineStr">
        <is>
          <t>A/B_public_observed_or_pending_recheck</t>
        </is>
      </c>
      <c r="I6" t="inlineStr">
        <is>
          <t>observed_value_kept</t>
        </is>
      </c>
      <c r="J6" t="b">
        <v>0</v>
      </c>
      <c r="K6" t="inlineStr">
        <is>
          <t>B</t>
        </is>
      </c>
      <c r="L6" t="inlineStr">
        <is>
          <t>collected_public_excerpt</t>
        </is>
      </c>
      <c r="M6" t="inlineStr">
        <is>
          <t>batch03_04_public_excerpt</t>
        </is>
      </c>
    </row>
    <row r="7">
      <c r="A7" s="3" t="n">
        <v>46024</v>
      </c>
      <c r="B7" t="inlineStr">
        <is>
          <t>2025-12-29</t>
        </is>
      </c>
      <c r="C7" t="inlineStr">
        <is>
          <t>2026-01-04</t>
        </is>
      </c>
      <c r="D7" t="inlineStr">
        <is>
          <t>SCFI综合指数</t>
        </is>
      </c>
      <c r="F7" t="n">
        <v>1588.406</v>
      </c>
      <c r="G7" t="inlineStr">
        <is>
          <t>points</t>
        </is>
      </c>
      <c r="H7" t="inlineStr">
        <is>
          <t>demo_interpolation_fill</t>
        </is>
      </c>
      <c r="I7" t="inlineStr">
        <is>
          <t>linear_interpolation_or_boundary_nearest</t>
        </is>
      </c>
      <c r="J7" t="b">
        <v>1</v>
      </c>
      <c r="K7" t="inlineStr">
        <is>
          <t>A_publication_suspended</t>
        </is>
      </c>
      <c r="L7" t="inlineStr">
        <is>
          <t>official_publication_suspended</t>
        </is>
      </c>
      <c r="M7" t="inlineStr">
        <is>
          <t>official_publication_calendar</t>
        </is>
      </c>
    </row>
    <row r="8">
      <c r="A8" s="3" t="n">
        <v>46031</v>
      </c>
      <c r="B8" t="inlineStr">
        <is>
          <t>2026-01-05</t>
        </is>
      </c>
      <c r="C8" t="inlineStr">
        <is>
          <t>2026-01-11</t>
        </is>
      </c>
      <c r="D8" t="inlineStr">
        <is>
          <t>SCFI综合指数</t>
        </is>
      </c>
      <c r="F8" t="n">
        <v>1520.492</v>
      </c>
      <c r="G8" t="inlineStr">
        <is>
          <t>points</t>
        </is>
      </c>
      <c r="H8" t="inlineStr">
        <is>
          <t>demo_interpolation_fill</t>
        </is>
      </c>
      <c r="I8" t="inlineStr">
        <is>
          <t>linear_interpolation_or_boundary_nearest</t>
        </is>
      </c>
      <c r="J8" t="b">
        <v>1</v>
      </c>
      <c r="K8" t="inlineStr">
        <is>
          <t>PENDING</t>
        </is>
      </c>
      <c r="L8" t="inlineStr">
        <is>
          <t>placeholder_pending</t>
        </is>
      </c>
      <c r="M8" t="inlineStr">
        <is>
          <t>placeholder</t>
        </is>
      </c>
    </row>
    <row r="9">
      <c r="A9" s="3" t="n">
        <v>46038</v>
      </c>
      <c r="B9" t="inlineStr">
        <is>
          <t>2026-01-12</t>
        </is>
      </c>
      <c r="C9" t="inlineStr">
        <is>
          <t>2026-01-18</t>
        </is>
      </c>
      <c r="D9" t="inlineStr">
        <is>
          <t>SCFI综合指数</t>
        </is>
      </c>
      <c r="F9" t="n">
        <v>1452.578</v>
      </c>
      <c r="G9" t="inlineStr">
        <is>
          <t>points</t>
        </is>
      </c>
      <c r="H9" t="inlineStr">
        <is>
          <t>demo_interpolation_fill</t>
        </is>
      </c>
      <c r="I9" t="inlineStr">
        <is>
          <t>linear_interpolation_or_boundary_nearest</t>
        </is>
      </c>
      <c r="J9" t="b">
        <v>1</v>
      </c>
      <c r="K9" t="inlineStr">
        <is>
          <t>PENDING</t>
        </is>
      </c>
      <c r="L9" t="inlineStr">
        <is>
          <t>placeholder_pending</t>
        </is>
      </c>
      <c r="M9" t="inlineStr">
        <is>
          <t>placeholder</t>
        </is>
      </c>
    </row>
    <row r="10">
      <c r="A10" s="3" t="n">
        <v>46045</v>
      </c>
      <c r="B10" t="inlineStr">
        <is>
          <t>2026-01-19</t>
        </is>
      </c>
      <c r="C10" t="inlineStr">
        <is>
          <t>2026-01-25</t>
        </is>
      </c>
      <c r="D10" t="inlineStr">
        <is>
          <t>SCFI综合指数</t>
        </is>
      </c>
      <c r="F10" t="n">
        <v>1384.664</v>
      </c>
      <c r="G10" t="inlineStr">
        <is>
          <t>points</t>
        </is>
      </c>
      <c r="H10" t="inlineStr">
        <is>
          <t>demo_interpolation_fill</t>
        </is>
      </c>
      <c r="I10" t="inlineStr">
        <is>
          <t>linear_interpolation_or_boundary_nearest</t>
        </is>
      </c>
      <c r="J10" t="b">
        <v>1</v>
      </c>
      <c r="K10" t="inlineStr">
        <is>
          <t>B</t>
        </is>
      </c>
      <c r="L10" t="inlineStr">
        <is>
          <t>collected_public_excerpt</t>
        </is>
      </c>
      <c r="M10" t="inlineStr">
        <is>
          <t>batch03_04_public_excerpt</t>
        </is>
      </c>
    </row>
    <row r="11">
      <c r="A11" s="3" t="n">
        <v>46052</v>
      </c>
      <c r="B11" t="inlineStr">
        <is>
          <t>2026-01-26</t>
        </is>
      </c>
      <c r="C11" t="inlineStr">
        <is>
          <t>2026-02-01</t>
        </is>
      </c>
      <c r="D11" t="inlineStr">
        <is>
          <t>SCFI综合指数</t>
        </is>
      </c>
      <c r="E11" t="n">
        <v>1316.75</v>
      </c>
      <c r="F11" t="n">
        <v>1316.75</v>
      </c>
      <c r="G11" t="inlineStr">
        <is>
          <t>points</t>
        </is>
      </c>
      <c r="H11" t="inlineStr">
        <is>
          <t>A/B_public_observed_or_pending_recheck</t>
        </is>
      </c>
      <c r="I11" t="inlineStr">
        <is>
          <t>observed_value_kept</t>
        </is>
      </c>
      <c r="J11" t="b">
        <v>0</v>
      </c>
      <c r="K11" t="inlineStr">
        <is>
          <t>B</t>
        </is>
      </c>
      <c r="L11" t="inlineStr">
        <is>
          <t>collected_public_excerpt</t>
        </is>
      </c>
      <c r="M11" t="inlineStr">
        <is>
          <t>batch03_04_public_excerpt</t>
        </is>
      </c>
    </row>
    <row r="12">
      <c r="A12" s="3" t="n">
        <v>46059</v>
      </c>
      <c r="B12" t="inlineStr">
        <is>
          <t>2026-02-02</t>
        </is>
      </c>
      <c r="C12" t="inlineStr">
        <is>
          <t>2026-02-08</t>
        </is>
      </c>
      <c r="D12" t="inlineStr">
        <is>
          <t>SCFI综合指数</t>
        </is>
      </c>
      <c r="E12" t="n">
        <v>1266.56</v>
      </c>
      <c r="F12" t="n">
        <v>1266.56</v>
      </c>
      <c r="G12" t="inlineStr">
        <is>
          <t>points</t>
        </is>
      </c>
      <c r="H12" t="inlineStr">
        <is>
          <t>A/B_public_observed_or_pending_recheck</t>
        </is>
      </c>
      <c r="I12" t="inlineStr">
        <is>
          <t>observed_value_kept</t>
        </is>
      </c>
      <c r="J12" t="b">
        <v>0</v>
      </c>
      <c r="K12" t="inlineStr">
        <is>
          <t>B</t>
        </is>
      </c>
      <c r="L12" t="inlineStr">
        <is>
          <t>collected_public_excerpt</t>
        </is>
      </c>
      <c r="M12" t="inlineStr">
        <is>
          <t>batch03_04_public_excerpt</t>
        </is>
      </c>
    </row>
    <row r="13">
      <c r="A13" s="3" t="n">
        <v>46066</v>
      </c>
      <c r="B13" t="inlineStr">
        <is>
          <t>2026-02-09</t>
        </is>
      </c>
      <c r="C13" t="inlineStr">
        <is>
          <t>2026-02-15</t>
        </is>
      </c>
      <c r="D13" t="inlineStr">
        <is>
          <t>SCFI综合指数</t>
        </is>
      </c>
      <c r="E13" t="n">
        <v>1251.46</v>
      </c>
      <c r="F13" t="n">
        <v>1251.46</v>
      </c>
      <c r="G13" t="inlineStr">
        <is>
          <t>points</t>
        </is>
      </c>
      <c r="H13" t="inlineStr">
        <is>
          <t>A/B_public_observed_or_pending_recheck</t>
        </is>
      </c>
      <c r="I13" t="inlineStr">
        <is>
          <t>observed_value_kept</t>
        </is>
      </c>
      <c r="J13" t="b">
        <v>0</v>
      </c>
      <c r="K13" t="inlineStr">
        <is>
          <t>B</t>
        </is>
      </c>
      <c r="L13" t="inlineStr">
        <is>
          <t>collected_public_excerpt</t>
        </is>
      </c>
      <c r="M13" t="inlineStr">
        <is>
          <t>batch03_04_public_excerpt</t>
        </is>
      </c>
    </row>
    <row r="14">
      <c r="A14" s="3" t="n">
        <v>46073</v>
      </c>
      <c r="B14" t="inlineStr">
        <is>
          <t>2026-02-16</t>
        </is>
      </c>
      <c r="C14" t="inlineStr">
        <is>
          <t>2026-02-22</t>
        </is>
      </c>
      <c r="D14" t="inlineStr">
        <is>
          <t>SCFI综合指数</t>
        </is>
      </c>
      <c r="F14" t="n">
        <v>1366.1825</v>
      </c>
      <c r="G14" t="inlineStr">
        <is>
          <t>points</t>
        </is>
      </c>
      <c r="H14" t="inlineStr">
        <is>
          <t>demo_interpolation_fill</t>
        </is>
      </c>
      <c r="I14" t="inlineStr">
        <is>
          <t>linear_interpolation_or_boundary_nearest</t>
        </is>
      </c>
      <c r="J14" t="b">
        <v>1</v>
      </c>
      <c r="K14" t="inlineStr">
        <is>
          <t>PENDING</t>
        </is>
      </c>
      <c r="L14" t="inlineStr">
        <is>
          <t>placeholder_pending</t>
        </is>
      </c>
      <c r="M14" t="inlineStr">
        <is>
          <t>placeholder</t>
        </is>
      </c>
    </row>
    <row r="15">
      <c r="A15" s="3" t="n">
        <v>46080</v>
      </c>
      <c r="B15" t="inlineStr">
        <is>
          <t>2026-02-23</t>
        </is>
      </c>
      <c r="C15" t="inlineStr">
        <is>
          <t>2026-03-01</t>
        </is>
      </c>
      <c r="D15" t="inlineStr">
        <is>
          <t>SCFI综合指数</t>
        </is>
      </c>
      <c r="F15" t="n">
        <v>1480.905</v>
      </c>
      <c r="G15" t="inlineStr">
        <is>
          <t>points</t>
        </is>
      </c>
      <c r="H15" t="inlineStr">
        <is>
          <t>demo_interpolation_fill</t>
        </is>
      </c>
      <c r="I15" t="inlineStr">
        <is>
          <t>linear_interpolation_or_boundary_nearest</t>
        </is>
      </c>
      <c r="J15" t="b">
        <v>1</v>
      </c>
      <c r="K15" t="inlineStr">
        <is>
          <t>PENDING</t>
        </is>
      </c>
      <c r="L15" t="inlineStr">
        <is>
          <t>placeholder_pending</t>
        </is>
      </c>
      <c r="M15" t="inlineStr">
        <is>
          <t>placeholder</t>
        </is>
      </c>
    </row>
    <row r="16">
      <c r="A16" s="3" t="n">
        <v>46087</v>
      </c>
      <c r="B16" t="inlineStr">
        <is>
          <t>2026-03-02</t>
        </is>
      </c>
      <c r="C16" t="inlineStr">
        <is>
          <t>2026-03-08</t>
        </is>
      </c>
      <c r="D16" t="inlineStr">
        <is>
          <t>SCFI综合指数</t>
        </is>
      </c>
      <c r="F16" t="n">
        <v>1595.6275</v>
      </c>
      <c r="G16" t="inlineStr">
        <is>
          <t>points</t>
        </is>
      </c>
      <c r="H16" t="inlineStr">
        <is>
          <t>demo_interpolation_fill</t>
        </is>
      </c>
      <c r="I16" t="inlineStr">
        <is>
          <t>linear_interpolation_or_boundary_nearest</t>
        </is>
      </c>
      <c r="J16" t="b">
        <v>1</v>
      </c>
      <c r="K16" t="inlineStr">
        <is>
          <t>PENDING</t>
        </is>
      </c>
      <c r="L16" t="inlineStr">
        <is>
          <t>placeholder_pending</t>
        </is>
      </c>
      <c r="M16" t="inlineStr">
        <is>
          <t>placeholder</t>
        </is>
      </c>
    </row>
    <row r="17">
      <c r="A17" s="3" t="n">
        <v>46094</v>
      </c>
      <c r="B17" t="inlineStr">
        <is>
          <t>2026-03-09</t>
        </is>
      </c>
      <c r="C17" t="inlineStr">
        <is>
          <t>2026-03-15</t>
        </is>
      </c>
      <c r="D17" t="inlineStr">
        <is>
          <t>SCFI综合指数</t>
        </is>
      </c>
      <c r="E17" t="n">
        <v>1710.35</v>
      </c>
      <c r="F17" t="n">
        <v>1710.35</v>
      </c>
      <c r="G17" t="inlineStr">
        <is>
          <t>points</t>
        </is>
      </c>
      <c r="H17" t="inlineStr">
        <is>
          <t>A/B_public_observed_or_pending_recheck</t>
        </is>
      </c>
      <c r="I17" t="inlineStr">
        <is>
          <t>observed_value_kept</t>
        </is>
      </c>
      <c r="J17" t="b">
        <v>0</v>
      </c>
      <c r="K17" t="inlineStr">
        <is>
          <t>B_pending_source_recheck</t>
        </is>
      </c>
      <c r="L17" t="inlineStr">
        <is>
          <t>legacy_value_pending_source_recheck</t>
        </is>
      </c>
      <c r="M17" t="inlineStr">
        <is>
          <t>legacy_public_clue_needs_source_recheck</t>
        </is>
      </c>
    </row>
    <row r="18">
      <c r="A18" s="3" t="n">
        <v>46101</v>
      </c>
      <c r="B18" t="inlineStr">
        <is>
          <t>2026-03-16</t>
        </is>
      </c>
      <c r="C18" t="inlineStr">
        <is>
          <t>2026-03-22</t>
        </is>
      </c>
      <c r="D18" t="inlineStr">
        <is>
          <t>SCFI综合指数</t>
        </is>
      </c>
      <c r="E18" t="n">
        <v>1706.95</v>
      </c>
      <c r="F18" t="n">
        <v>1706.95</v>
      </c>
      <c r="G18" t="inlineStr">
        <is>
          <t>points</t>
        </is>
      </c>
      <c r="H18" t="inlineStr">
        <is>
          <t>A/B_public_observed_or_pending_recheck</t>
        </is>
      </c>
      <c r="I18" t="inlineStr">
        <is>
          <t>observed_value_kept</t>
        </is>
      </c>
      <c r="J18" t="b">
        <v>0</v>
      </c>
      <c r="K18" t="inlineStr">
        <is>
          <t>B_pending_source_recheck</t>
        </is>
      </c>
      <c r="L18" t="inlineStr">
        <is>
          <t>legacy_value_pending_source_recheck</t>
        </is>
      </c>
      <c r="M18" t="inlineStr">
        <is>
          <t>legacy_public_clue_needs_source_recheck</t>
        </is>
      </c>
    </row>
    <row r="19">
      <c r="A19" s="3" t="n">
        <v>46108</v>
      </c>
      <c r="B19" t="inlineStr">
        <is>
          <t>2026-03-23</t>
        </is>
      </c>
      <c r="C19" t="inlineStr">
        <is>
          <t>2026-03-29</t>
        </is>
      </c>
      <c r="D19" t="inlineStr">
        <is>
          <t>SCFI综合指数</t>
        </is>
      </c>
      <c r="F19" t="n">
        <v>1768.223333333333</v>
      </c>
      <c r="G19" t="inlineStr">
        <is>
          <t>points</t>
        </is>
      </c>
      <c r="H19" t="inlineStr">
        <is>
          <t>demo_interpolation_fill</t>
        </is>
      </c>
      <c r="I19" t="inlineStr">
        <is>
          <t>linear_interpolation_or_boundary_nearest</t>
        </is>
      </c>
      <c r="J19" t="b">
        <v>1</v>
      </c>
      <c r="K19" t="inlineStr">
        <is>
          <t>PENDING</t>
        </is>
      </c>
      <c r="L19" t="inlineStr">
        <is>
          <t>placeholder_pending</t>
        </is>
      </c>
      <c r="M19" t="inlineStr">
        <is>
          <t>placeholder</t>
        </is>
      </c>
    </row>
    <row r="20">
      <c r="A20" s="3" t="n">
        <v>46115</v>
      </c>
      <c r="B20" t="inlineStr">
        <is>
          <t>2026-03-30</t>
        </is>
      </c>
      <c r="C20" t="inlineStr">
        <is>
          <t>2026-04-05</t>
        </is>
      </c>
      <c r="D20" t="inlineStr">
        <is>
          <t>SCFI综合指数</t>
        </is>
      </c>
      <c r="F20" t="n">
        <v>1829.496666666667</v>
      </c>
      <c r="G20" t="inlineStr">
        <is>
          <t>points</t>
        </is>
      </c>
      <c r="H20" t="inlineStr">
        <is>
          <t>demo_interpolation_fill</t>
        </is>
      </c>
      <c r="I20" t="inlineStr">
        <is>
          <t>linear_interpolation_or_boundary_nearest</t>
        </is>
      </c>
      <c r="J20" t="b">
        <v>1</v>
      </c>
      <c r="K20" t="inlineStr">
        <is>
          <t>PENDING</t>
        </is>
      </c>
      <c r="L20" t="inlineStr">
        <is>
          <t>placeholder_pending</t>
        </is>
      </c>
      <c r="M20" t="inlineStr">
        <is>
          <t>placeholder</t>
        </is>
      </c>
    </row>
    <row r="21">
      <c r="A21" s="3" t="n">
        <v>46122</v>
      </c>
      <c r="B21" t="inlineStr">
        <is>
          <t>2026-04-06</t>
        </is>
      </c>
      <c r="C21" t="inlineStr">
        <is>
          <t>2026-04-12</t>
        </is>
      </c>
      <c r="D21" t="inlineStr">
        <is>
          <t>SCFI综合指数</t>
        </is>
      </c>
      <c r="E21" t="n">
        <v>1890.77</v>
      </c>
      <c r="F21" t="n">
        <v>1890.77</v>
      </c>
      <c r="G21" t="inlineStr">
        <is>
          <t>points</t>
        </is>
      </c>
      <c r="H21" t="inlineStr">
        <is>
          <t>A/B_public_observed_or_pending_recheck</t>
        </is>
      </c>
      <c r="I21" t="inlineStr">
        <is>
          <t>observed_value_kept</t>
        </is>
      </c>
      <c r="J21" t="b">
        <v>0</v>
      </c>
      <c r="K21" t="inlineStr">
        <is>
          <t>B_pending_source_recheck</t>
        </is>
      </c>
      <c r="L21" t="inlineStr">
        <is>
          <t>legacy_value_pending_source_recheck</t>
        </is>
      </c>
      <c r="M21" t="inlineStr">
        <is>
          <t>legacy_public_clue_needs_source_recheck</t>
        </is>
      </c>
    </row>
    <row r="22">
      <c r="A22" s="3" t="n">
        <v>46129</v>
      </c>
      <c r="B22" t="inlineStr">
        <is>
          <t>2026-04-13</t>
        </is>
      </c>
      <c r="C22" t="inlineStr">
        <is>
          <t>2026-04-19</t>
        </is>
      </c>
      <c r="D22" t="inlineStr">
        <is>
          <t>SCFI综合指数</t>
        </is>
      </c>
      <c r="E22" t="n">
        <v>1886.54</v>
      </c>
      <c r="F22" t="n">
        <v>1886.54</v>
      </c>
      <c r="G22" t="inlineStr">
        <is>
          <t>points</t>
        </is>
      </c>
      <c r="H22" t="inlineStr">
        <is>
          <t>A/B_public_observed_or_pending_recheck</t>
        </is>
      </c>
      <c r="I22" t="inlineStr">
        <is>
          <t>observed_value_kept</t>
        </is>
      </c>
      <c r="J22" t="b">
        <v>0</v>
      </c>
      <c r="K22" t="inlineStr">
        <is>
          <t>B_pending_original_text</t>
        </is>
      </c>
      <c r="L22" t="inlineStr">
        <is>
          <t>collected_public_excerpt_pending_original_text</t>
        </is>
      </c>
      <c r="M22" t="inlineStr">
        <is>
          <t>public_excerpt_batch_01</t>
        </is>
      </c>
    </row>
    <row r="23">
      <c r="A23" s="3" t="n">
        <v>46136</v>
      </c>
      <c r="B23" t="inlineStr">
        <is>
          <t>2026-04-20</t>
        </is>
      </c>
      <c r="C23" t="inlineStr">
        <is>
          <t>2026-04-26</t>
        </is>
      </c>
      <c r="D23" t="inlineStr">
        <is>
          <t>SCFI综合指数</t>
        </is>
      </c>
      <c r="E23" t="n">
        <v>1875.26</v>
      </c>
      <c r="F23" t="n">
        <v>1875.26</v>
      </c>
      <c r="G23" t="inlineStr">
        <is>
          <t>points</t>
        </is>
      </c>
      <c r="H23" t="inlineStr">
        <is>
          <t>A/B_public_observed_or_pending_recheck</t>
        </is>
      </c>
      <c r="I23" t="inlineStr">
        <is>
          <t>observed_value_kept</t>
        </is>
      </c>
      <c r="J23" t="b">
        <v>0</v>
      </c>
      <c r="K23" t="inlineStr">
        <is>
          <t>B_pending_original_text</t>
        </is>
      </c>
      <c r="L23" t="inlineStr">
        <is>
          <t>collected_public_excerpt_pending_original_text</t>
        </is>
      </c>
      <c r="M23" t="inlineStr">
        <is>
          <t>public_excerpt_batch_01</t>
        </is>
      </c>
    </row>
    <row r="24">
      <c r="A24" s="3" t="n">
        <v>46143</v>
      </c>
      <c r="B24" t="inlineStr">
        <is>
          <t>2026-04-27</t>
        </is>
      </c>
      <c r="C24" t="inlineStr">
        <is>
          <t>2026-05-03</t>
        </is>
      </c>
      <c r="D24" t="inlineStr">
        <is>
          <t>SCFI综合指数</t>
        </is>
      </c>
      <c r="E24" t="n">
        <v>1911.4</v>
      </c>
      <c r="F24" t="n">
        <v>1911.4</v>
      </c>
      <c r="G24" t="inlineStr">
        <is>
          <t>points</t>
        </is>
      </c>
      <c r="H24" t="inlineStr">
        <is>
          <t>A/B_public_observed_or_pending_recheck</t>
        </is>
      </c>
      <c r="I24" t="inlineStr">
        <is>
          <t>observed_value_kept</t>
        </is>
      </c>
      <c r="J24" t="b">
        <v>0</v>
      </c>
      <c r="K24" t="inlineStr">
        <is>
          <t>B_pending_original_text</t>
        </is>
      </c>
      <c r="L24" t="inlineStr">
        <is>
          <t>collected_public_excerpt_pending_original_text</t>
        </is>
      </c>
      <c r="M24" t="inlineStr">
        <is>
          <t>public_excerpt_batch_01</t>
        </is>
      </c>
    </row>
    <row r="25">
      <c r="A25" s="3" t="n">
        <v>46150</v>
      </c>
      <c r="B25" t="inlineStr">
        <is>
          <t>2026-05-04</t>
        </is>
      </c>
      <c r="C25" t="inlineStr">
        <is>
          <t>2026-05-10</t>
        </is>
      </c>
      <c r="D25" t="inlineStr">
        <is>
          <t>SCFI综合指数</t>
        </is>
      </c>
      <c r="E25" t="n">
        <v>1954.21</v>
      </c>
      <c r="F25" t="n">
        <v>1954.21</v>
      </c>
      <c r="G25" t="inlineStr">
        <is>
          <t>points</t>
        </is>
      </c>
      <c r="H25" t="inlineStr">
        <is>
          <t>A/B_public_observed_or_pending_recheck</t>
        </is>
      </c>
      <c r="I25" t="inlineStr">
        <is>
          <t>observed_value_kept</t>
        </is>
      </c>
      <c r="J25" t="b">
        <v>0</v>
      </c>
      <c r="K25" t="inlineStr">
        <is>
          <t>B_pending_original_text</t>
        </is>
      </c>
      <c r="L25" t="inlineStr">
        <is>
          <t>collected_public_excerpt_pending_original_text</t>
        </is>
      </c>
      <c r="M25" t="inlineStr">
        <is>
          <t>public_excerpt_batch_01</t>
        </is>
      </c>
    </row>
    <row r="26">
      <c r="A26" s="3" t="n">
        <v>46157</v>
      </c>
      <c r="B26" t="inlineStr">
        <is>
          <t>2026-05-11</t>
        </is>
      </c>
      <c r="C26" t="inlineStr">
        <is>
          <t>2026-05-17</t>
        </is>
      </c>
      <c r="D26" t="inlineStr">
        <is>
          <t>SCFI综合指数</t>
        </is>
      </c>
      <c r="E26" t="n">
        <v>2140.66</v>
      </c>
      <c r="F26" t="n">
        <v>2140.66</v>
      </c>
      <c r="G26" t="inlineStr">
        <is>
          <t>points</t>
        </is>
      </c>
      <c r="H26" t="inlineStr">
        <is>
          <t>A/B_public_observed_or_pending_recheck</t>
        </is>
      </c>
      <c r="I26" t="inlineStr">
        <is>
          <t>observed_value_kept</t>
        </is>
      </c>
      <c r="J26" t="b">
        <v>0</v>
      </c>
      <c r="K26" t="inlineStr">
        <is>
          <t>A(composite_only)/B_pending_original_text(route_values)</t>
        </is>
      </c>
      <c r="L26" t="inlineStr">
        <is>
          <t>partial_composite_verified_routes_public_excerpt_pending</t>
        </is>
      </c>
      <c r="M26" t="inlineStr">
        <is>
          <t>official_single_page_table_for_composite_plus_unverified_public_route_clues</t>
        </is>
      </c>
    </row>
    <row r="27">
      <c r="A27" s="3" t="n">
        <v>46164</v>
      </c>
      <c r="B27" t="inlineStr">
        <is>
          <t>2026-05-18</t>
        </is>
      </c>
      <c r="C27" t="inlineStr">
        <is>
          <t>2026-05-24</t>
        </is>
      </c>
      <c r="D27" t="inlineStr">
        <is>
          <t>SCFI综合指数</t>
        </is>
      </c>
      <c r="E27" t="n">
        <v>2218.15</v>
      </c>
      <c r="F27" t="n">
        <v>2218.15</v>
      </c>
      <c r="G27" t="inlineStr">
        <is>
          <t>points</t>
        </is>
      </c>
      <c r="H27" t="inlineStr">
        <is>
          <t>A/B_public_observed_or_pending_recheck</t>
        </is>
      </c>
      <c r="I27" t="inlineStr">
        <is>
          <t>observed_value_kept</t>
        </is>
      </c>
      <c r="J27" t="b">
        <v>0</v>
      </c>
      <c r="K27" t="inlineStr">
        <is>
          <t>A/B</t>
        </is>
      </c>
      <c r="L27" t="inlineStr">
        <is>
          <t>partial_or_complete_collected</t>
        </is>
      </c>
      <c r="M27" t="inlineStr">
        <is>
          <t>official_single_page_plus_public_repost</t>
        </is>
      </c>
    </row>
    <row r="28">
      <c r="A28" s="3" t="n">
        <v>45989</v>
      </c>
      <c r="B28" t="inlineStr">
        <is>
          <t>2025-11-24</t>
        </is>
      </c>
      <c r="C28" t="inlineStr">
        <is>
          <t>2025-11-30</t>
        </is>
      </c>
      <c r="D28" t="inlineStr">
        <is>
          <t>地中海航线</t>
        </is>
      </c>
      <c r="E28" t="n">
        <v>2232</v>
      </c>
      <c r="F28" t="n">
        <v>2232</v>
      </c>
      <c r="G28" t="inlineStr">
        <is>
          <t>USD/TEU</t>
        </is>
      </c>
      <c r="H28" t="inlineStr">
        <is>
          <t>A/B_public_observed_or_pending_recheck</t>
        </is>
      </c>
      <c r="I28" t="inlineStr">
        <is>
          <t>observed_value_kept</t>
        </is>
      </c>
      <c r="J28" t="b">
        <v>0</v>
      </c>
      <c r="K28" t="inlineStr">
        <is>
          <t>B</t>
        </is>
      </c>
      <c r="L28" t="inlineStr">
        <is>
          <t>collected_public_excerpt</t>
        </is>
      </c>
      <c r="M28" t="inlineStr">
        <is>
          <t>batch03_04_public_excerpt</t>
        </is>
      </c>
    </row>
    <row r="29">
      <c r="A29" s="3" t="n">
        <v>45996</v>
      </c>
      <c r="B29" t="inlineStr">
        <is>
          <t>2025-12-01</t>
        </is>
      </c>
      <c r="C29" t="inlineStr">
        <is>
          <t>2025-12-07</t>
        </is>
      </c>
      <c r="D29" t="inlineStr">
        <is>
          <t>地中海航线</t>
        </is>
      </c>
      <c r="E29" t="n">
        <v>2300</v>
      </c>
      <c r="F29" t="n">
        <v>2300</v>
      </c>
      <c r="G29" t="inlineStr">
        <is>
          <t>USD/TEU</t>
        </is>
      </c>
      <c r="H29" t="inlineStr">
        <is>
          <t>A/B_public_observed_or_pending_recheck</t>
        </is>
      </c>
      <c r="I29" t="inlineStr">
        <is>
          <t>observed_value_kept</t>
        </is>
      </c>
      <c r="J29" t="b">
        <v>0</v>
      </c>
      <c r="K29" t="inlineStr">
        <is>
          <t>B</t>
        </is>
      </c>
      <c r="L29" t="inlineStr">
        <is>
          <t>collected_public_excerpt</t>
        </is>
      </c>
      <c r="M29" t="inlineStr">
        <is>
          <t>batch03_04_public_excerpt</t>
        </is>
      </c>
    </row>
    <row r="30">
      <c r="A30" s="3" t="n">
        <v>46003</v>
      </c>
      <c r="B30" t="inlineStr">
        <is>
          <t>2025-12-08</t>
        </is>
      </c>
      <c r="C30" t="inlineStr">
        <is>
          <t>2025-12-14</t>
        </is>
      </c>
      <c r="D30" t="inlineStr">
        <is>
          <t>地中海航线</t>
        </is>
      </c>
      <c r="F30" t="n">
        <v>2566.5</v>
      </c>
      <c r="G30" t="inlineStr">
        <is>
          <t>USD/TEU</t>
        </is>
      </c>
      <c r="H30" t="inlineStr">
        <is>
          <t>demo_interpolation_fill</t>
        </is>
      </c>
      <c r="I30" t="inlineStr">
        <is>
          <t>linear_interpolation_or_boundary_nearest</t>
        </is>
      </c>
      <c r="J30" t="b">
        <v>1</v>
      </c>
      <c r="K30" t="inlineStr">
        <is>
          <t>PENDING</t>
        </is>
      </c>
      <c r="L30" t="inlineStr">
        <is>
          <t>placeholder_pending</t>
        </is>
      </c>
      <c r="M30" t="inlineStr">
        <is>
          <t>placeholder</t>
        </is>
      </c>
    </row>
    <row r="31">
      <c r="A31" s="3" t="n">
        <v>46010</v>
      </c>
      <c r="B31" t="inlineStr">
        <is>
          <t>2025-12-15</t>
        </is>
      </c>
      <c r="C31" t="inlineStr">
        <is>
          <t>2025-12-21</t>
        </is>
      </c>
      <c r="D31" t="inlineStr">
        <is>
          <t>地中海航线</t>
        </is>
      </c>
      <c r="E31" t="n">
        <v>2833</v>
      </c>
      <c r="F31" t="n">
        <v>2833</v>
      </c>
      <c r="G31" t="inlineStr">
        <is>
          <t>USD/TEU</t>
        </is>
      </c>
      <c r="H31" t="inlineStr">
        <is>
          <t>A/B_public_observed_or_pending_recheck</t>
        </is>
      </c>
      <c r="I31" t="inlineStr">
        <is>
          <t>observed_value_kept</t>
        </is>
      </c>
      <c r="J31" t="b">
        <v>0</v>
      </c>
      <c r="K31" t="inlineStr">
        <is>
          <t>B</t>
        </is>
      </c>
      <c r="L31" t="inlineStr">
        <is>
          <t>collected_public_excerpt</t>
        </is>
      </c>
      <c r="M31" t="inlineStr">
        <is>
          <t>batch03_04_public_excerpt</t>
        </is>
      </c>
    </row>
    <row r="32">
      <c r="A32" s="3" t="n">
        <v>46017</v>
      </c>
      <c r="B32" t="inlineStr">
        <is>
          <t>2025-12-22</t>
        </is>
      </c>
      <c r="C32" t="inlineStr">
        <is>
          <t>2025-12-28</t>
        </is>
      </c>
      <c r="D32" t="inlineStr">
        <is>
          <t>地中海航线</t>
        </is>
      </c>
      <c r="E32" t="n">
        <v>3143</v>
      </c>
      <c r="F32" t="n">
        <v>3143</v>
      </c>
      <c r="G32" t="inlineStr">
        <is>
          <t>USD/TEU</t>
        </is>
      </c>
      <c r="H32" t="inlineStr">
        <is>
          <t>A/B_public_observed_or_pending_recheck</t>
        </is>
      </c>
      <c r="I32" t="inlineStr">
        <is>
          <t>observed_value_kept</t>
        </is>
      </c>
      <c r="J32" t="b">
        <v>0</v>
      </c>
      <c r="K32" t="inlineStr">
        <is>
          <t>B</t>
        </is>
      </c>
      <c r="L32" t="inlineStr">
        <is>
          <t>collected_public_excerpt</t>
        </is>
      </c>
      <c r="M32" t="inlineStr">
        <is>
          <t>batch03_04_public_excerpt</t>
        </is>
      </c>
    </row>
    <row r="33">
      <c r="A33" s="3" t="n">
        <v>46024</v>
      </c>
      <c r="B33" t="inlineStr">
        <is>
          <t>2025-12-29</t>
        </is>
      </c>
      <c r="C33" t="inlineStr">
        <is>
          <t>2026-01-04</t>
        </is>
      </c>
      <c r="D33" t="inlineStr">
        <is>
          <t>地中海航线</t>
        </is>
      </c>
      <c r="F33" t="n">
        <v>2999.2</v>
      </c>
      <c r="G33" t="inlineStr">
        <is>
          <t>USD/TEU</t>
        </is>
      </c>
      <c r="H33" t="inlineStr">
        <is>
          <t>demo_interpolation_fill</t>
        </is>
      </c>
      <c r="I33" t="inlineStr">
        <is>
          <t>linear_interpolation_or_boundary_nearest</t>
        </is>
      </c>
      <c r="J33" t="b">
        <v>1</v>
      </c>
      <c r="K33" t="inlineStr">
        <is>
          <t>A_publication_suspended</t>
        </is>
      </c>
      <c r="L33" t="inlineStr">
        <is>
          <t>official_publication_suspended</t>
        </is>
      </c>
      <c r="M33" t="inlineStr">
        <is>
          <t>official_publication_calendar</t>
        </is>
      </c>
    </row>
    <row r="34">
      <c r="A34" s="3" t="n">
        <v>46031</v>
      </c>
      <c r="B34" t="inlineStr">
        <is>
          <t>2026-01-05</t>
        </is>
      </c>
      <c r="C34" t="inlineStr">
        <is>
          <t>2026-01-11</t>
        </is>
      </c>
      <c r="D34" t="inlineStr">
        <is>
          <t>地中海航线</t>
        </is>
      </c>
      <c r="F34" t="n">
        <v>2855.4</v>
      </c>
      <c r="G34" t="inlineStr">
        <is>
          <t>USD/TEU</t>
        </is>
      </c>
      <c r="H34" t="inlineStr">
        <is>
          <t>demo_interpolation_fill</t>
        </is>
      </c>
      <c r="I34" t="inlineStr">
        <is>
          <t>linear_interpolation_or_boundary_nearest</t>
        </is>
      </c>
      <c r="J34" t="b">
        <v>1</v>
      </c>
      <c r="K34" t="inlineStr">
        <is>
          <t>PENDING</t>
        </is>
      </c>
      <c r="L34" t="inlineStr">
        <is>
          <t>placeholder_pending</t>
        </is>
      </c>
      <c r="M34" t="inlineStr">
        <is>
          <t>placeholder</t>
        </is>
      </c>
    </row>
    <row r="35">
      <c r="A35" s="3" t="n">
        <v>46038</v>
      </c>
      <c r="B35" t="inlineStr">
        <is>
          <t>2026-01-12</t>
        </is>
      </c>
      <c r="C35" t="inlineStr">
        <is>
          <t>2026-01-18</t>
        </is>
      </c>
      <c r="D35" t="inlineStr">
        <is>
          <t>地中海航线</t>
        </is>
      </c>
      <c r="F35" t="n">
        <v>2711.6</v>
      </c>
      <c r="G35" t="inlineStr">
        <is>
          <t>USD/TEU</t>
        </is>
      </c>
      <c r="H35" t="inlineStr">
        <is>
          <t>demo_interpolation_fill</t>
        </is>
      </c>
      <c r="I35" t="inlineStr">
        <is>
          <t>linear_interpolation_or_boundary_nearest</t>
        </is>
      </c>
      <c r="J35" t="b">
        <v>1</v>
      </c>
      <c r="K35" t="inlineStr">
        <is>
          <t>PENDING</t>
        </is>
      </c>
      <c r="L35" t="inlineStr">
        <is>
          <t>placeholder_pending</t>
        </is>
      </c>
      <c r="M35" t="inlineStr">
        <is>
          <t>placeholder</t>
        </is>
      </c>
    </row>
    <row r="36">
      <c r="A36" s="3" t="n">
        <v>46045</v>
      </c>
      <c r="B36" t="inlineStr">
        <is>
          <t>2026-01-19</t>
        </is>
      </c>
      <c r="C36" t="inlineStr">
        <is>
          <t>2026-01-25</t>
        </is>
      </c>
      <c r="D36" t="inlineStr">
        <is>
          <t>地中海航线</t>
        </is>
      </c>
      <c r="F36" t="n">
        <v>2567.8</v>
      </c>
      <c r="G36" t="inlineStr">
        <is>
          <t>USD/TEU</t>
        </is>
      </c>
      <c r="H36" t="inlineStr">
        <is>
          <t>demo_interpolation_fill</t>
        </is>
      </c>
      <c r="I36" t="inlineStr">
        <is>
          <t>linear_interpolation_or_boundary_nearest</t>
        </is>
      </c>
      <c r="J36" t="b">
        <v>1</v>
      </c>
      <c r="K36" t="inlineStr">
        <is>
          <t>B</t>
        </is>
      </c>
      <c r="L36" t="inlineStr">
        <is>
          <t>collected_public_excerpt</t>
        </is>
      </c>
      <c r="M36" t="inlineStr">
        <is>
          <t>batch03_04_public_excerpt</t>
        </is>
      </c>
    </row>
    <row r="37">
      <c r="A37" s="3" t="n">
        <v>46052</v>
      </c>
      <c r="B37" t="inlineStr">
        <is>
          <t>2026-01-26</t>
        </is>
      </c>
      <c r="C37" t="inlineStr">
        <is>
          <t>2026-02-01</t>
        </is>
      </c>
      <c r="D37" t="inlineStr">
        <is>
          <t>地中海航线</t>
        </is>
      </c>
      <c r="E37" t="n">
        <v>2424</v>
      </c>
      <c r="F37" t="n">
        <v>2424</v>
      </c>
      <c r="G37" t="inlineStr">
        <is>
          <t>USD/TEU</t>
        </is>
      </c>
      <c r="H37" t="inlineStr">
        <is>
          <t>A/B_public_observed_or_pending_recheck</t>
        </is>
      </c>
      <c r="I37" t="inlineStr">
        <is>
          <t>observed_value_kept</t>
        </is>
      </c>
      <c r="J37" t="b">
        <v>0</v>
      </c>
      <c r="K37" t="inlineStr">
        <is>
          <t>B</t>
        </is>
      </c>
      <c r="L37" t="inlineStr">
        <is>
          <t>collected_public_excerpt</t>
        </is>
      </c>
      <c r="M37" t="inlineStr">
        <is>
          <t>batch03_04_public_excerpt</t>
        </is>
      </c>
    </row>
    <row r="38">
      <c r="A38" s="3" t="n">
        <v>46059</v>
      </c>
      <c r="B38" t="inlineStr">
        <is>
          <t>2026-02-02</t>
        </is>
      </c>
      <c r="C38" t="inlineStr">
        <is>
          <t>2026-02-08</t>
        </is>
      </c>
      <c r="D38" t="inlineStr">
        <is>
          <t>地中海航线</t>
        </is>
      </c>
      <c r="F38" t="n">
        <v>2300.5</v>
      </c>
      <c r="G38" t="inlineStr">
        <is>
          <t>USD/TEU</t>
        </is>
      </c>
      <c r="H38" t="inlineStr">
        <is>
          <t>demo_interpolation_fill</t>
        </is>
      </c>
      <c r="I38" t="inlineStr">
        <is>
          <t>linear_interpolation_or_boundary_nearest</t>
        </is>
      </c>
      <c r="J38" t="b">
        <v>1</v>
      </c>
      <c r="K38" t="inlineStr">
        <is>
          <t>B</t>
        </is>
      </c>
      <c r="L38" t="inlineStr">
        <is>
          <t>collected_public_excerpt</t>
        </is>
      </c>
      <c r="M38" t="inlineStr">
        <is>
          <t>batch03_04_public_excerpt</t>
        </is>
      </c>
    </row>
    <row r="39">
      <c r="A39" s="3" t="n">
        <v>46066</v>
      </c>
      <c r="B39" t="inlineStr">
        <is>
          <t>2026-02-09</t>
        </is>
      </c>
      <c r="C39" t="inlineStr">
        <is>
          <t>2026-02-15</t>
        </is>
      </c>
      <c r="D39" t="inlineStr">
        <is>
          <t>地中海航线</t>
        </is>
      </c>
      <c r="E39" t="n">
        <v>2177</v>
      </c>
      <c r="F39" t="n">
        <v>2177</v>
      </c>
      <c r="G39" t="inlineStr">
        <is>
          <t>USD/TEU</t>
        </is>
      </c>
      <c r="H39" t="inlineStr">
        <is>
          <t>A/B_public_observed_or_pending_recheck</t>
        </is>
      </c>
      <c r="I39" t="inlineStr">
        <is>
          <t>observed_value_kept</t>
        </is>
      </c>
      <c r="J39" t="b">
        <v>0</v>
      </c>
      <c r="K39" t="inlineStr">
        <is>
          <t>B</t>
        </is>
      </c>
      <c r="L39" t="inlineStr">
        <is>
          <t>collected_public_excerpt</t>
        </is>
      </c>
      <c r="M39" t="inlineStr">
        <is>
          <t>batch03_04_public_excerpt</t>
        </is>
      </c>
    </row>
    <row r="40">
      <c r="A40" s="3" t="n">
        <v>46073</v>
      </c>
      <c r="B40" t="inlineStr">
        <is>
          <t>2026-02-16</t>
        </is>
      </c>
      <c r="C40" t="inlineStr">
        <is>
          <t>2026-02-22</t>
        </is>
      </c>
      <c r="D40" t="inlineStr">
        <is>
          <t>地中海航线</t>
        </is>
      </c>
      <c r="F40" t="n">
        <v>2211.888888888889</v>
      </c>
      <c r="G40" t="inlineStr">
        <is>
          <t>USD/TEU</t>
        </is>
      </c>
      <c r="H40" t="inlineStr">
        <is>
          <t>demo_interpolation_fill</t>
        </is>
      </c>
      <c r="I40" t="inlineStr">
        <is>
          <t>linear_interpolation_or_boundary_nearest</t>
        </is>
      </c>
      <c r="J40" t="b">
        <v>1</v>
      </c>
      <c r="K40" t="inlineStr">
        <is>
          <t>PENDING</t>
        </is>
      </c>
      <c r="L40" t="inlineStr">
        <is>
          <t>placeholder_pending</t>
        </is>
      </c>
      <c r="M40" t="inlineStr">
        <is>
          <t>placeholder</t>
        </is>
      </c>
    </row>
    <row r="41">
      <c r="A41" s="3" t="n">
        <v>46080</v>
      </c>
      <c r="B41" t="inlineStr">
        <is>
          <t>2026-02-23</t>
        </is>
      </c>
      <c r="C41" t="inlineStr">
        <is>
          <t>2026-03-01</t>
        </is>
      </c>
      <c r="D41" t="inlineStr">
        <is>
          <t>地中海航线</t>
        </is>
      </c>
      <c r="F41" t="n">
        <v>2246.777777777778</v>
      </c>
      <c r="G41" t="inlineStr">
        <is>
          <t>USD/TEU</t>
        </is>
      </c>
      <c r="H41" t="inlineStr">
        <is>
          <t>demo_interpolation_fill</t>
        </is>
      </c>
      <c r="I41" t="inlineStr">
        <is>
          <t>linear_interpolation_or_boundary_nearest</t>
        </is>
      </c>
      <c r="J41" t="b">
        <v>1</v>
      </c>
      <c r="K41" t="inlineStr">
        <is>
          <t>PENDING</t>
        </is>
      </c>
      <c r="L41" t="inlineStr">
        <is>
          <t>placeholder_pending</t>
        </is>
      </c>
      <c r="M41" t="inlineStr">
        <is>
          <t>placeholder</t>
        </is>
      </c>
    </row>
    <row r="42">
      <c r="A42" s="3" t="n">
        <v>46087</v>
      </c>
      <c r="B42" t="inlineStr">
        <is>
          <t>2026-03-02</t>
        </is>
      </c>
      <c r="C42" t="inlineStr">
        <is>
          <t>2026-03-08</t>
        </is>
      </c>
      <c r="D42" t="inlineStr">
        <is>
          <t>地中海航线</t>
        </is>
      </c>
      <c r="F42" t="n">
        <v>2281.666666666667</v>
      </c>
      <c r="G42" t="inlineStr">
        <is>
          <t>USD/TEU</t>
        </is>
      </c>
      <c r="H42" t="inlineStr">
        <is>
          <t>demo_interpolation_fill</t>
        </is>
      </c>
      <c r="I42" t="inlineStr">
        <is>
          <t>linear_interpolation_or_boundary_nearest</t>
        </is>
      </c>
      <c r="J42" t="b">
        <v>1</v>
      </c>
      <c r="K42" t="inlineStr">
        <is>
          <t>PENDING</t>
        </is>
      </c>
      <c r="L42" t="inlineStr">
        <is>
          <t>placeholder_pending</t>
        </is>
      </c>
      <c r="M42" t="inlineStr">
        <is>
          <t>placeholder</t>
        </is>
      </c>
    </row>
    <row r="43">
      <c r="A43" s="3" t="n">
        <v>46094</v>
      </c>
      <c r="B43" t="inlineStr">
        <is>
          <t>2026-03-09</t>
        </is>
      </c>
      <c r="C43" t="inlineStr">
        <is>
          <t>2026-03-15</t>
        </is>
      </c>
      <c r="D43" t="inlineStr">
        <is>
          <t>地中海航线</t>
        </is>
      </c>
      <c r="F43" t="n">
        <v>2316.555555555556</v>
      </c>
      <c r="G43" t="inlineStr">
        <is>
          <t>USD/TEU</t>
        </is>
      </c>
      <c r="H43" t="inlineStr">
        <is>
          <t>demo_interpolation_fill</t>
        </is>
      </c>
      <c r="I43" t="inlineStr">
        <is>
          <t>linear_interpolation_or_boundary_nearest</t>
        </is>
      </c>
      <c r="J43" t="b">
        <v>1</v>
      </c>
      <c r="K43" t="inlineStr">
        <is>
          <t>B_pending_source_recheck</t>
        </is>
      </c>
      <c r="L43" t="inlineStr">
        <is>
          <t>legacy_value_pending_source_recheck</t>
        </is>
      </c>
      <c r="M43" t="inlineStr">
        <is>
          <t>legacy_public_clue_needs_source_recheck</t>
        </is>
      </c>
    </row>
    <row r="44">
      <c r="A44" s="3" t="n">
        <v>46101</v>
      </c>
      <c r="B44" t="inlineStr">
        <is>
          <t>2026-03-16</t>
        </is>
      </c>
      <c r="C44" t="inlineStr">
        <is>
          <t>2026-03-22</t>
        </is>
      </c>
      <c r="D44" t="inlineStr">
        <is>
          <t>地中海航线</t>
        </is>
      </c>
      <c r="F44" t="n">
        <v>2351.444444444444</v>
      </c>
      <c r="G44" t="inlineStr">
        <is>
          <t>USD/TEU</t>
        </is>
      </c>
      <c r="H44" t="inlineStr">
        <is>
          <t>demo_interpolation_fill</t>
        </is>
      </c>
      <c r="I44" t="inlineStr">
        <is>
          <t>linear_interpolation_or_boundary_nearest</t>
        </is>
      </c>
      <c r="J44" t="b">
        <v>1</v>
      </c>
      <c r="K44" t="inlineStr">
        <is>
          <t>B_pending_source_recheck</t>
        </is>
      </c>
      <c r="L44" t="inlineStr">
        <is>
          <t>legacy_value_pending_source_recheck</t>
        </is>
      </c>
      <c r="M44" t="inlineStr">
        <is>
          <t>legacy_public_clue_needs_source_recheck</t>
        </is>
      </c>
    </row>
    <row r="45">
      <c r="A45" s="3" t="n">
        <v>46108</v>
      </c>
      <c r="B45" t="inlineStr">
        <is>
          <t>2026-03-23</t>
        </is>
      </c>
      <c r="C45" t="inlineStr">
        <is>
          <t>2026-03-29</t>
        </is>
      </c>
      <c r="D45" t="inlineStr">
        <is>
          <t>地中海航线</t>
        </is>
      </c>
      <c r="F45" t="n">
        <v>2386.333333333333</v>
      </c>
      <c r="G45" t="inlineStr">
        <is>
          <t>USD/TEU</t>
        </is>
      </c>
      <c r="H45" t="inlineStr">
        <is>
          <t>demo_interpolation_fill</t>
        </is>
      </c>
      <c r="I45" t="inlineStr">
        <is>
          <t>linear_interpolation_or_boundary_nearest</t>
        </is>
      </c>
      <c r="J45" t="b">
        <v>1</v>
      </c>
      <c r="K45" t="inlineStr">
        <is>
          <t>PENDING</t>
        </is>
      </c>
      <c r="L45" t="inlineStr">
        <is>
          <t>placeholder_pending</t>
        </is>
      </c>
      <c r="M45" t="inlineStr">
        <is>
          <t>placeholder</t>
        </is>
      </c>
    </row>
    <row r="46">
      <c r="A46" s="3" t="n">
        <v>46115</v>
      </c>
      <c r="B46" t="inlineStr">
        <is>
          <t>2026-03-30</t>
        </is>
      </c>
      <c r="C46" t="inlineStr">
        <is>
          <t>2026-04-05</t>
        </is>
      </c>
      <c r="D46" t="inlineStr">
        <is>
          <t>地中海航线</t>
        </is>
      </c>
      <c r="F46" t="n">
        <v>2421.222222222222</v>
      </c>
      <c r="G46" t="inlineStr">
        <is>
          <t>USD/TEU</t>
        </is>
      </c>
      <c r="H46" t="inlineStr">
        <is>
          <t>demo_interpolation_fill</t>
        </is>
      </c>
      <c r="I46" t="inlineStr">
        <is>
          <t>linear_interpolation_or_boundary_nearest</t>
        </is>
      </c>
      <c r="J46" t="b">
        <v>1</v>
      </c>
      <c r="K46" t="inlineStr">
        <is>
          <t>PENDING</t>
        </is>
      </c>
      <c r="L46" t="inlineStr">
        <is>
          <t>placeholder_pending</t>
        </is>
      </c>
      <c r="M46" t="inlineStr">
        <is>
          <t>placeholder</t>
        </is>
      </c>
    </row>
    <row r="47">
      <c r="A47" s="3" t="n">
        <v>46122</v>
      </c>
      <c r="B47" t="inlineStr">
        <is>
          <t>2026-04-06</t>
        </is>
      </c>
      <c r="C47" t="inlineStr">
        <is>
          <t>2026-04-12</t>
        </is>
      </c>
      <c r="D47" t="inlineStr">
        <is>
          <t>地中海航线</t>
        </is>
      </c>
      <c r="F47" t="n">
        <v>2456.111111111112</v>
      </c>
      <c r="G47" t="inlineStr">
        <is>
          <t>USD/TEU</t>
        </is>
      </c>
      <c r="H47" t="inlineStr">
        <is>
          <t>demo_interpolation_fill</t>
        </is>
      </c>
      <c r="I47" t="inlineStr">
        <is>
          <t>linear_interpolation_or_boundary_nearest</t>
        </is>
      </c>
      <c r="J47" t="b">
        <v>1</v>
      </c>
      <c r="K47" t="inlineStr">
        <is>
          <t>B_pending_source_recheck</t>
        </is>
      </c>
      <c r="L47" t="inlineStr">
        <is>
          <t>legacy_value_pending_source_recheck</t>
        </is>
      </c>
      <c r="M47" t="inlineStr">
        <is>
          <t>legacy_public_clue_needs_source_recheck</t>
        </is>
      </c>
    </row>
    <row r="48">
      <c r="A48" s="3" t="n">
        <v>46129</v>
      </c>
      <c r="B48" t="inlineStr">
        <is>
          <t>2026-04-13</t>
        </is>
      </c>
      <c r="C48" t="inlineStr">
        <is>
          <t>2026-04-19</t>
        </is>
      </c>
      <c r="D48" t="inlineStr">
        <is>
          <t>地中海航线</t>
        </is>
      </c>
      <c r="E48" t="n">
        <v>2491</v>
      </c>
      <c r="F48" t="n">
        <v>2491</v>
      </c>
      <c r="G48" t="inlineStr">
        <is>
          <t>USD/TEU</t>
        </is>
      </c>
      <c r="H48" t="inlineStr">
        <is>
          <t>A/B_public_observed_or_pending_recheck</t>
        </is>
      </c>
      <c r="I48" t="inlineStr">
        <is>
          <t>observed_value_kept</t>
        </is>
      </c>
      <c r="J48" t="b">
        <v>0</v>
      </c>
      <c r="K48" t="inlineStr">
        <is>
          <t>B_pending_original_text</t>
        </is>
      </c>
      <c r="L48" t="inlineStr">
        <is>
          <t>collected_public_excerpt_pending_original_text</t>
        </is>
      </c>
      <c r="M48" t="inlineStr">
        <is>
          <t>public_excerpt_batch_01</t>
        </is>
      </c>
    </row>
    <row r="49">
      <c r="A49" s="3" t="n">
        <v>46136</v>
      </c>
      <c r="B49" t="inlineStr">
        <is>
          <t>2026-04-20</t>
        </is>
      </c>
      <c r="C49" t="inlineStr">
        <is>
          <t>2026-04-26</t>
        </is>
      </c>
      <c r="D49" t="inlineStr">
        <is>
          <t>地中海航线</t>
        </is>
      </c>
      <c r="E49" t="n">
        <v>2420</v>
      </c>
      <c r="F49" t="n">
        <v>2420</v>
      </c>
      <c r="G49" t="inlineStr">
        <is>
          <t>USD/TEU</t>
        </is>
      </c>
      <c r="H49" t="inlineStr">
        <is>
          <t>A/B_public_observed_or_pending_recheck</t>
        </is>
      </c>
      <c r="I49" t="inlineStr">
        <is>
          <t>observed_value_kept</t>
        </is>
      </c>
      <c r="J49" t="b">
        <v>0</v>
      </c>
      <c r="K49" t="inlineStr">
        <is>
          <t>B_pending_original_text</t>
        </is>
      </c>
      <c r="L49" t="inlineStr">
        <is>
          <t>collected_public_excerpt_pending_original_text</t>
        </is>
      </c>
      <c r="M49" t="inlineStr">
        <is>
          <t>public_excerpt_batch_01</t>
        </is>
      </c>
    </row>
    <row r="50">
      <c r="A50" s="3" t="n">
        <v>46143</v>
      </c>
      <c r="B50" t="inlineStr">
        <is>
          <t>2026-04-27</t>
        </is>
      </c>
      <c r="C50" t="inlineStr">
        <is>
          <t>2026-05-03</t>
        </is>
      </c>
      <c r="D50" t="inlineStr">
        <is>
          <t>地中海航线</t>
        </is>
      </c>
      <c r="F50" t="n">
        <v>2441.5</v>
      </c>
      <c r="G50" t="inlineStr">
        <is>
          <t>USD/TEU</t>
        </is>
      </c>
      <c r="H50" t="inlineStr">
        <is>
          <t>demo_interpolation_fill</t>
        </is>
      </c>
      <c r="I50" t="inlineStr">
        <is>
          <t>linear_interpolation_or_boundary_nearest</t>
        </is>
      </c>
      <c r="J50" t="b">
        <v>1</v>
      </c>
      <c r="K50" t="inlineStr">
        <is>
          <t>B_pending_original_text</t>
        </is>
      </c>
      <c r="L50" t="inlineStr">
        <is>
          <t>collected_public_excerpt_pending_original_text</t>
        </is>
      </c>
      <c r="M50" t="inlineStr">
        <is>
          <t>public_excerpt_batch_01</t>
        </is>
      </c>
    </row>
    <row r="51">
      <c r="A51" s="3" t="n">
        <v>46150</v>
      </c>
      <c r="B51" t="inlineStr">
        <is>
          <t>2026-05-04</t>
        </is>
      </c>
      <c r="C51" t="inlineStr">
        <is>
          <t>2026-05-10</t>
        </is>
      </c>
      <c r="D51" t="inlineStr">
        <is>
          <t>地中海航线</t>
        </is>
      </c>
      <c r="E51" t="n">
        <v>2463</v>
      </c>
      <c r="F51" t="n">
        <v>2463</v>
      </c>
      <c r="G51" t="inlineStr">
        <is>
          <t>USD/TEU</t>
        </is>
      </c>
      <c r="H51" t="inlineStr">
        <is>
          <t>A/B_public_observed_or_pending_recheck</t>
        </is>
      </c>
      <c r="I51" t="inlineStr">
        <is>
          <t>observed_value_kept</t>
        </is>
      </c>
      <c r="J51" t="b">
        <v>0</v>
      </c>
      <c r="K51" t="inlineStr">
        <is>
          <t>B_pending_original_text</t>
        </is>
      </c>
      <c r="L51" t="inlineStr">
        <is>
          <t>collected_public_excerpt_pending_original_text</t>
        </is>
      </c>
      <c r="M51" t="inlineStr">
        <is>
          <t>public_excerpt_batch_01</t>
        </is>
      </c>
    </row>
    <row r="52">
      <c r="A52" s="3" t="n">
        <v>46157</v>
      </c>
      <c r="B52" t="inlineStr">
        <is>
          <t>2026-05-11</t>
        </is>
      </c>
      <c r="C52" t="inlineStr">
        <is>
          <t>2026-05-17</t>
        </is>
      </c>
      <c r="D52" t="inlineStr">
        <is>
          <t>地中海航线</t>
        </is>
      </c>
      <c r="E52" t="n">
        <v>3145</v>
      </c>
      <c r="F52" t="n">
        <v>3145</v>
      </c>
      <c r="G52" t="inlineStr">
        <is>
          <t>USD/TEU</t>
        </is>
      </c>
      <c r="H52" t="inlineStr">
        <is>
          <t>A/B_public_observed_or_pending_recheck</t>
        </is>
      </c>
      <c r="I52" t="inlineStr">
        <is>
          <t>observed_value_kept</t>
        </is>
      </c>
      <c r="J52" t="b">
        <v>0</v>
      </c>
      <c r="K52" t="inlineStr">
        <is>
          <t>A(composite_only)/B_pending_original_text(route_values)</t>
        </is>
      </c>
      <c r="L52" t="inlineStr">
        <is>
          <t>partial_composite_verified_routes_public_excerpt_pending</t>
        </is>
      </c>
      <c r="M52" t="inlineStr">
        <is>
          <t>official_single_page_table_for_composite_plus_unverified_public_route_clues</t>
        </is>
      </c>
    </row>
    <row r="53">
      <c r="A53" s="3" t="n">
        <v>46164</v>
      </c>
      <c r="B53" t="inlineStr">
        <is>
          <t>2026-05-18</t>
        </is>
      </c>
      <c r="C53" t="inlineStr">
        <is>
          <t>2026-05-24</t>
        </is>
      </c>
      <c r="D53" t="inlineStr">
        <is>
          <t>地中海航线</t>
        </is>
      </c>
      <c r="E53" t="n">
        <v>3207</v>
      </c>
      <c r="F53" t="n">
        <v>3207</v>
      </c>
      <c r="G53" t="inlineStr">
        <is>
          <t>USD/TEU</t>
        </is>
      </c>
      <c r="H53" t="inlineStr">
        <is>
          <t>A/B_public_observed_or_pending_recheck</t>
        </is>
      </c>
      <c r="I53" t="inlineStr">
        <is>
          <t>observed_value_kept</t>
        </is>
      </c>
      <c r="J53" t="b">
        <v>0</v>
      </c>
      <c r="K53" t="inlineStr">
        <is>
          <t>A/B</t>
        </is>
      </c>
      <c r="L53" t="inlineStr">
        <is>
          <t>partial_or_complete_collected</t>
        </is>
      </c>
      <c r="M53" t="inlineStr">
        <is>
          <t>official_single_page_plus_public_repost</t>
        </is>
      </c>
    </row>
    <row r="54">
      <c r="A54" s="3" t="n">
        <v>45989</v>
      </c>
      <c r="B54" t="inlineStr">
        <is>
          <t>2025-11-24</t>
        </is>
      </c>
      <c r="C54" t="inlineStr">
        <is>
          <t>2025-11-30</t>
        </is>
      </c>
      <c r="D54" t="inlineStr">
        <is>
          <t>欧洲航线</t>
        </is>
      </c>
      <c r="E54" t="n">
        <v>1404</v>
      </c>
      <c r="F54" t="n">
        <v>1404</v>
      </c>
      <c r="G54" t="inlineStr">
        <is>
          <t>USD/TEU</t>
        </is>
      </c>
      <c r="H54" t="inlineStr">
        <is>
          <t>A/B_public_observed_or_pending_recheck</t>
        </is>
      </c>
      <c r="I54" t="inlineStr">
        <is>
          <t>observed_value_kept</t>
        </is>
      </c>
      <c r="J54" t="b">
        <v>0</v>
      </c>
      <c r="K54" t="inlineStr">
        <is>
          <t>B</t>
        </is>
      </c>
      <c r="L54" t="inlineStr">
        <is>
          <t>collected_public_excerpt</t>
        </is>
      </c>
      <c r="M54" t="inlineStr">
        <is>
          <t>batch03_04_public_excerpt</t>
        </is>
      </c>
    </row>
    <row r="55">
      <c r="A55" s="3" t="n">
        <v>45996</v>
      </c>
      <c r="B55" t="inlineStr">
        <is>
          <t>2025-12-01</t>
        </is>
      </c>
      <c r="C55" t="inlineStr">
        <is>
          <t>2025-12-07</t>
        </is>
      </c>
      <c r="D55" t="inlineStr">
        <is>
          <t>欧洲航线</t>
        </is>
      </c>
      <c r="E55" t="n">
        <v>1400</v>
      </c>
      <c r="F55" t="n">
        <v>1400</v>
      </c>
      <c r="G55" t="inlineStr">
        <is>
          <t>USD/TEU</t>
        </is>
      </c>
      <c r="H55" t="inlineStr">
        <is>
          <t>A/B_public_observed_or_pending_recheck</t>
        </is>
      </c>
      <c r="I55" t="inlineStr">
        <is>
          <t>observed_value_kept</t>
        </is>
      </c>
      <c r="J55" t="b">
        <v>0</v>
      </c>
      <c r="K55" t="inlineStr">
        <is>
          <t>B</t>
        </is>
      </c>
      <c r="L55" t="inlineStr">
        <is>
          <t>collected_public_excerpt</t>
        </is>
      </c>
      <c r="M55" t="inlineStr">
        <is>
          <t>batch03_04_public_excerpt</t>
        </is>
      </c>
    </row>
    <row r="56">
      <c r="A56" s="3" t="n">
        <v>46003</v>
      </c>
      <c r="B56" t="inlineStr">
        <is>
          <t>2025-12-08</t>
        </is>
      </c>
      <c r="C56" t="inlineStr">
        <is>
          <t>2025-12-14</t>
        </is>
      </c>
      <c r="D56" t="inlineStr">
        <is>
          <t>欧洲航线</t>
        </is>
      </c>
      <c r="F56" t="n">
        <v>1466.5</v>
      </c>
      <c r="G56" t="inlineStr">
        <is>
          <t>USD/TEU</t>
        </is>
      </c>
      <c r="H56" t="inlineStr">
        <is>
          <t>demo_interpolation_fill</t>
        </is>
      </c>
      <c r="I56" t="inlineStr">
        <is>
          <t>linear_interpolation_or_boundary_nearest</t>
        </is>
      </c>
      <c r="J56" t="b">
        <v>1</v>
      </c>
      <c r="K56" t="inlineStr">
        <is>
          <t>PENDING</t>
        </is>
      </c>
      <c r="L56" t="inlineStr">
        <is>
          <t>placeholder_pending</t>
        </is>
      </c>
      <c r="M56" t="inlineStr">
        <is>
          <t>placeholder</t>
        </is>
      </c>
    </row>
    <row r="57">
      <c r="A57" s="3" t="n">
        <v>46010</v>
      </c>
      <c r="B57" t="inlineStr">
        <is>
          <t>2025-12-15</t>
        </is>
      </c>
      <c r="C57" t="inlineStr">
        <is>
          <t>2025-12-21</t>
        </is>
      </c>
      <c r="D57" t="inlineStr">
        <is>
          <t>欧洲航线</t>
        </is>
      </c>
      <c r="E57" t="n">
        <v>1533</v>
      </c>
      <c r="F57" t="n">
        <v>1533</v>
      </c>
      <c r="G57" t="inlineStr">
        <is>
          <t>USD/TEU</t>
        </is>
      </c>
      <c r="H57" t="inlineStr">
        <is>
          <t>A/B_public_observed_or_pending_recheck</t>
        </is>
      </c>
      <c r="I57" t="inlineStr">
        <is>
          <t>observed_value_kept</t>
        </is>
      </c>
      <c r="J57" t="b">
        <v>0</v>
      </c>
      <c r="K57" t="inlineStr">
        <is>
          <t>B</t>
        </is>
      </c>
      <c r="L57" t="inlineStr">
        <is>
          <t>collected_public_excerpt</t>
        </is>
      </c>
      <c r="M57" t="inlineStr">
        <is>
          <t>batch03_04_public_excerpt</t>
        </is>
      </c>
    </row>
    <row r="58">
      <c r="A58" s="3" t="n">
        <v>46017</v>
      </c>
      <c r="B58" t="inlineStr">
        <is>
          <t>2025-12-22</t>
        </is>
      </c>
      <c r="C58" t="inlineStr">
        <is>
          <t>2025-12-28</t>
        </is>
      </c>
      <c r="D58" t="inlineStr">
        <is>
          <t>欧洲航线</t>
        </is>
      </c>
      <c r="E58" t="n">
        <v>1690</v>
      </c>
      <c r="F58" t="n">
        <v>1690</v>
      </c>
      <c r="G58" t="inlineStr">
        <is>
          <t>USD/TEU</t>
        </is>
      </c>
      <c r="H58" t="inlineStr">
        <is>
          <t>A/B_public_observed_or_pending_recheck</t>
        </is>
      </c>
      <c r="I58" t="inlineStr">
        <is>
          <t>observed_value_kept</t>
        </is>
      </c>
      <c r="J58" t="b">
        <v>0</v>
      </c>
      <c r="K58" t="inlineStr">
        <is>
          <t>B</t>
        </is>
      </c>
      <c r="L58" t="inlineStr">
        <is>
          <t>collected_public_excerpt</t>
        </is>
      </c>
      <c r="M58" t="inlineStr">
        <is>
          <t>batch03_04_public_excerpt</t>
        </is>
      </c>
    </row>
    <row r="59">
      <c r="A59" s="3" t="n">
        <v>46024</v>
      </c>
      <c r="B59" t="inlineStr">
        <is>
          <t>2025-12-29</t>
        </is>
      </c>
      <c r="C59" t="inlineStr">
        <is>
          <t>2026-01-04</t>
        </is>
      </c>
      <c r="D59" t="inlineStr">
        <is>
          <t>欧洲航线</t>
        </is>
      </c>
      <c r="F59" t="n">
        <v>1666.25</v>
      </c>
      <c r="G59" t="inlineStr">
        <is>
          <t>USD/TEU</t>
        </is>
      </c>
      <c r="H59" t="inlineStr">
        <is>
          <t>demo_interpolation_fill</t>
        </is>
      </c>
      <c r="I59" t="inlineStr">
        <is>
          <t>linear_interpolation_or_boundary_nearest</t>
        </is>
      </c>
      <c r="J59" t="b">
        <v>1</v>
      </c>
      <c r="K59" t="inlineStr">
        <is>
          <t>A_publication_suspended</t>
        </is>
      </c>
      <c r="L59" t="inlineStr">
        <is>
          <t>official_publication_suspended</t>
        </is>
      </c>
      <c r="M59" t="inlineStr">
        <is>
          <t>official_publication_calendar</t>
        </is>
      </c>
    </row>
    <row r="60">
      <c r="A60" s="3" t="n">
        <v>46031</v>
      </c>
      <c r="B60" t="inlineStr">
        <is>
          <t>2026-01-05</t>
        </is>
      </c>
      <c r="C60" t="inlineStr">
        <is>
          <t>2026-01-11</t>
        </is>
      </c>
      <c r="D60" t="inlineStr">
        <is>
          <t>欧洲航线</t>
        </is>
      </c>
      <c r="F60" t="n">
        <v>1642.5</v>
      </c>
      <c r="G60" t="inlineStr">
        <is>
          <t>USD/TEU</t>
        </is>
      </c>
      <c r="H60" t="inlineStr">
        <is>
          <t>demo_interpolation_fill</t>
        </is>
      </c>
      <c r="I60" t="inlineStr">
        <is>
          <t>linear_interpolation_or_boundary_nearest</t>
        </is>
      </c>
      <c r="J60" t="b">
        <v>1</v>
      </c>
      <c r="K60" t="inlineStr">
        <is>
          <t>PENDING</t>
        </is>
      </c>
      <c r="L60" t="inlineStr">
        <is>
          <t>placeholder_pending</t>
        </is>
      </c>
      <c r="M60" t="inlineStr">
        <is>
          <t>placeholder</t>
        </is>
      </c>
    </row>
    <row r="61">
      <c r="A61" s="3" t="n">
        <v>46038</v>
      </c>
      <c r="B61" t="inlineStr">
        <is>
          <t>2026-01-12</t>
        </is>
      </c>
      <c r="C61" t="inlineStr">
        <is>
          <t>2026-01-18</t>
        </is>
      </c>
      <c r="D61" t="inlineStr">
        <is>
          <t>欧洲航线</t>
        </is>
      </c>
      <c r="F61" t="n">
        <v>1618.75</v>
      </c>
      <c r="G61" t="inlineStr">
        <is>
          <t>USD/TEU</t>
        </is>
      </c>
      <c r="H61" t="inlineStr">
        <is>
          <t>demo_interpolation_fill</t>
        </is>
      </c>
      <c r="I61" t="inlineStr">
        <is>
          <t>linear_interpolation_or_boundary_nearest</t>
        </is>
      </c>
      <c r="J61" t="b">
        <v>1</v>
      </c>
      <c r="K61" t="inlineStr">
        <is>
          <t>PENDING</t>
        </is>
      </c>
      <c r="L61" t="inlineStr">
        <is>
          <t>placeholder_pending</t>
        </is>
      </c>
      <c r="M61" t="inlineStr">
        <is>
          <t>placeholder</t>
        </is>
      </c>
    </row>
    <row r="62">
      <c r="A62" s="3" t="n">
        <v>46045</v>
      </c>
      <c r="B62" t="inlineStr">
        <is>
          <t>2026-01-19</t>
        </is>
      </c>
      <c r="C62" t="inlineStr">
        <is>
          <t>2026-01-25</t>
        </is>
      </c>
      <c r="D62" t="inlineStr">
        <is>
          <t>欧洲航线</t>
        </is>
      </c>
      <c r="E62" t="n">
        <v>1595</v>
      </c>
      <c r="F62" t="n">
        <v>1595</v>
      </c>
      <c r="G62" t="inlineStr">
        <is>
          <t>USD/TEU</t>
        </is>
      </c>
      <c r="H62" t="inlineStr">
        <is>
          <t>A/B_public_observed_or_pending_recheck</t>
        </is>
      </c>
      <c r="I62" t="inlineStr">
        <is>
          <t>observed_value_kept</t>
        </is>
      </c>
      <c r="J62" t="b">
        <v>0</v>
      </c>
      <c r="K62" t="inlineStr">
        <is>
          <t>B</t>
        </is>
      </c>
      <c r="L62" t="inlineStr">
        <is>
          <t>collected_public_excerpt</t>
        </is>
      </c>
      <c r="M62" t="inlineStr">
        <is>
          <t>batch03_04_public_excerpt</t>
        </is>
      </c>
    </row>
    <row r="63">
      <c r="A63" s="3" t="n">
        <v>46052</v>
      </c>
      <c r="B63" t="inlineStr">
        <is>
          <t>2026-01-26</t>
        </is>
      </c>
      <c r="C63" t="inlineStr">
        <is>
          <t>2026-02-01</t>
        </is>
      </c>
      <c r="D63" t="inlineStr">
        <is>
          <t>欧洲航线</t>
        </is>
      </c>
      <c r="E63" t="n">
        <v>1418</v>
      </c>
      <c r="F63" t="n">
        <v>1418</v>
      </c>
      <c r="G63" t="inlineStr">
        <is>
          <t>USD/TEU</t>
        </is>
      </c>
      <c r="H63" t="inlineStr">
        <is>
          <t>A/B_public_observed_or_pending_recheck</t>
        </is>
      </c>
      <c r="I63" t="inlineStr">
        <is>
          <t>observed_value_kept</t>
        </is>
      </c>
      <c r="J63" t="b">
        <v>0</v>
      </c>
      <c r="K63" t="inlineStr">
        <is>
          <t>B</t>
        </is>
      </c>
      <c r="L63" t="inlineStr">
        <is>
          <t>collected_public_excerpt</t>
        </is>
      </c>
      <c r="M63" t="inlineStr">
        <is>
          <t>batch03_04_public_excerpt</t>
        </is>
      </c>
    </row>
    <row r="64">
      <c r="A64" s="3" t="n">
        <v>46059</v>
      </c>
      <c r="B64" t="inlineStr">
        <is>
          <t>2026-02-02</t>
        </is>
      </c>
      <c r="C64" t="inlineStr">
        <is>
          <t>2026-02-08</t>
        </is>
      </c>
      <c r="D64" t="inlineStr">
        <is>
          <t>欧洲航线</t>
        </is>
      </c>
      <c r="E64" t="n">
        <v>1403</v>
      </c>
      <c r="F64" t="n">
        <v>1403</v>
      </c>
      <c r="G64" t="inlineStr">
        <is>
          <t>USD/TEU</t>
        </is>
      </c>
      <c r="H64" t="inlineStr">
        <is>
          <t>A/B_public_observed_or_pending_recheck</t>
        </is>
      </c>
      <c r="I64" t="inlineStr">
        <is>
          <t>observed_value_kept</t>
        </is>
      </c>
      <c r="J64" t="b">
        <v>0</v>
      </c>
      <c r="K64" t="inlineStr">
        <is>
          <t>B</t>
        </is>
      </c>
      <c r="L64" t="inlineStr">
        <is>
          <t>collected_public_excerpt</t>
        </is>
      </c>
      <c r="M64" t="inlineStr">
        <is>
          <t>batch03_04_public_excerpt</t>
        </is>
      </c>
    </row>
    <row r="65">
      <c r="A65" s="3" t="n">
        <v>46066</v>
      </c>
      <c r="B65" t="inlineStr">
        <is>
          <t>2026-02-09</t>
        </is>
      </c>
      <c r="C65" t="inlineStr">
        <is>
          <t>2026-02-15</t>
        </is>
      </c>
      <c r="D65" t="inlineStr">
        <is>
          <t>欧洲航线</t>
        </is>
      </c>
      <c r="E65" t="n">
        <v>1361</v>
      </c>
      <c r="F65" t="n">
        <v>1361</v>
      </c>
      <c r="G65" t="inlineStr">
        <is>
          <t>USD/TEU</t>
        </is>
      </c>
      <c r="H65" t="inlineStr">
        <is>
          <t>A/B_public_observed_or_pending_recheck</t>
        </is>
      </c>
      <c r="I65" t="inlineStr">
        <is>
          <t>observed_value_kept</t>
        </is>
      </c>
      <c r="J65" t="b">
        <v>0</v>
      </c>
      <c r="K65" t="inlineStr">
        <is>
          <t>B</t>
        </is>
      </c>
      <c r="L65" t="inlineStr">
        <is>
          <t>collected_public_excerpt</t>
        </is>
      </c>
      <c r="M65" t="inlineStr">
        <is>
          <t>batch03_04_public_excerpt</t>
        </is>
      </c>
    </row>
    <row r="66">
      <c r="A66" s="3" t="n">
        <v>46073</v>
      </c>
      <c r="B66" t="inlineStr">
        <is>
          <t>2026-02-16</t>
        </is>
      </c>
      <c r="C66" t="inlineStr">
        <is>
          <t>2026-02-22</t>
        </is>
      </c>
      <c r="D66" t="inlineStr">
        <is>
          <t>欧洲航线</t>
        </is>
      </c>
      <c r="F66" t="n">
        <v>1425.25</v>
      </c>
      <c r="G66" t="inlineStr">
        <is>
          <t>USD/TEU</t>
        </is>
      </c>
      <c r="H66" t="inlineStr">
        <is>
          <t>demo_interpolation_fill</t>
        </is>
      </c>
      <c r="I66" t="inlineStr">
        <is>
          <t>linear_interpolation_or_boundary_nearest</t>
        </is>
      </c>
      <c r="J66" t="b">
        <v>1</v>
      </c>
      <c r="K66" t="inlineStr">
        <is>
          <t>PENDING</t>
        </is>
      </c>
      <c r="L66" t="inlineStr">
        <is>
          <t>placeholder_pending</t>
        </is>
      </c>
      <c r="M66" t="inlineStr">
        <is>
          <t>placeholder</t>
        </is>
      </c>
    </row>
    <row r="67">
      <c r="A67" s="3" t="n">
        <v>46080</v>
      </c>
      <c r="B67" t="inlineStr">
        <is>
          <t>2026-02-23</t>
        </is>
      </c>
      <c r="C67" t="inlineStr">
        <is>
          <t>2026-03-01</t>
        </is>
      </c>
      <c r="D67" t="inlineStr">
        <is>
          <t>欧洲航线</t>
        </is>
      </c>
      <c r="F67" t="n">
        <v>1489.5</v>
      </c>
      <c r="G67" t="inlineStr">
        <is>
          <t>USD/TEU</t>
        </is>
      </c>
      <c r="H67" t="inlineStr">
        <is>
          <t>demo_interpolation_fill</t>
        </is>
      </c>
      <c r="I67" t="inlineStr">
        <is>
          <t>linear_interpolation_or_boundary_nearest</t>
        </is>
      </c>
      <c r="J67" t="b">
        <v>1</v>
      </c>
      <c r="K67" t="inlineStr">
        <is>
          <t>PENDING</t>
        </is>
      </c>
      <c r="L67" t="inlineStr">
        <is>
          <t>placeholder_pending</t>
        </is>
      </c>
      <c r="M67" t="inlineStr">
        <is>
          <t>placeholder</t>
        </is>
      </c>
    </row>
    <row r="68">
      <c r="A68" s="3" t="n">
        <v>46087</v>
      </c>
      <c r="B68" t="inlineStr">
        <is>
          <t>2026-03-02</t>
        </is>
      </c>
      <c r="C68" t="inlineStr">
        <is>
          <t>2026-03-08</t>
        </is>
      </c>
      <c r="D68" t="inlineStr">
        <is>
          <t>欧洲航线</t>
        </is>
      </c>
      <c r="F68" t="n">
        <v>1553.75</v>
      </c>
      <c r="G68" t="inlineStr">
        <is>
          <t>USD/TEU</t>
        </is>
      </c>
      <c r="H68" t="inlineStr">
        <is>
          <t>demo_interpolation_fill</t>
        </is>
      </c>
      <c r="I68" t="inlineStr">
        <is>
          <t>linear_interpolation_or_boundary_nearest</t>
        </is>
      </c>
      <c r="J68" t="b">
        <v>1</v>
      </c>
      <c r="K68" t="inlineStr">
        <is>
          <t>PENDING</t>
        </is>
      </c>
      <c r="L68" t="inlineStr">
        <is>
          <t>placeholder_pending</t>
        </is>
      </c>
      <c r="M68" t="inlineStr">
        <is>
          <t>placeholder</t>
        </is>
      </c>
    </row>
    <row r="69">
      <c r="A69" s="3" t="n">
        <v>46094</v>
      </c>
      <c r="B69" t="inlineStr">
        <is>
          <t>2026-03-09</t>
        </is>
      </c>
      <c r="C69" t="inlineStr">
        <is>
          <t>2026-03-15</t>
        </is>
      </c>
      <c r="D69" t="inlineStr">
        <is>
          <t>欧洲航线</t>
        </is>
      </c>
      <c r="E69" t="n">
        <v>1618</v>
      </c>
      <c r="F69" t="n">
        <v>1618</v>
      </c>
      <c r="G69" t="inlineStr">
        <is>
          <t>USD/TEU</t>
        </is>
      </c>
      <c r="H69" t="inlineStr">
        <is>
          <t>A/B_public_observed_or_pending_recheck</t>
        </is>
      </c>
      <c r="I69" t="inlineStr">
        <is>
          <t>observed_value_kept</t>
        </is>
      </c>
      <c r="J69" t="b">
        <v>0</v>
      </c>
      <c r="K69" t="inlineStr">
        <is>
          <t>B_pending_source_recheck</t>
        </is>
      </c>
      <c r="L69" t="inlineStr">
        <is>
          <t>legacy_value_pending_source_recheck</t>
        </is>
      </c>
      <c r="M69" t="inlineStr">
        <is>
          <t>legacy_public_clue_needs_source_recheck</t>
        </is>
      </c>
    </row>
    <row r="70">
      <c r="A70" s="3" t="n">
        <v>46101</v>
      </c>
      <c r="B70" t="inlineStr">
        <is>
          <t>2026-03-16</t>
        </is>
      </c>
      <c r="C70" t="inlineStr">
        <is>
          <t>2026-03-22</t>
        </is>
      </c>
      <c r="D70" t="inlineStr">
        <is>
          <t>欧洲航线</t>
        </is>
      </c>
      <c r="E70" t="n">
        <v>1636</v>
      </c>
      <c r="F70" t="n">
        <v>1636</v>
      </c>
      <c r="G70" t="inlineStr">
        <is>
          <t>USD/TEU</t>
        </is>
      </c>
      <c r="H70" t="inlineStr">
        <is>
          <t>A/B_public_observed_or_pending_recheck</t>
        </is>
      </c>
      <c r="I70" t="inlineStr">
        <is>
          <t>observed_value_kept</t>
        </is>
      </c>
      <c r="J70" t="b">
        <v>0</v>
      </c>
      <c r="K70" t="inlineStr">
        <is>
          <t>B_pending_source_recheck</t>
        </is>
      </c>
      <c r="L70" t="inlineStr">
        <is>
          <t>legacy_value_pending_source_recheck</t>
        </is>
      </c>
      <c r="M70" t="inlineStr">
        <is>
          <t>legacy_public_clue_needs_source_recheck</t>
        </is>
      </c>
    </row>
    <row r="71">
      <c r="A71" s="3" t="n">
        <v>46108</v>
      </c>
      <c r="B71" t="inlineStr">
        <is>
          <t>2026-03-23</t>
        </is>
      </c>
      <c r="C71" t="inlineStr">
        <is>
          <t>2026-03-29</t>
        </is>
      </c>
      <c r="D71" t="inlineStr">
        <is>
          <t>欧洲航线</t>
        </is>
      </c>
      <c r="F71" t="n">
        <v>1606.333333333333</v>
      </c>
      <c r="G71" t="inlineStr">
        <is>
          <t>USD/TEU</t>
        </is>
      </c>
      <c r="H71" t="inlineStr">
        <is>
          <t>demo_interpolation_fill</t>
        </is>
      </c>
      <c r="I71" t="inlineStr">
        <is>
          <t>linear_interpolation_or_boundary_nearest</t>
        </is>
      </c>
      <c r="J71" t="b">
        <v>1</v>
      </c>
      <c r="K71" t="inlineStr">
        <is>
          <t>PENDING</t>
        </is>
      </c>
      <c r="L71" t="inlineStr">
        <is>
          <t>placeholder_pending</t>
        </is>
      </c>
      <c r="M71" t="inlineStr">
        <is>
          <t>placeholder</t>
        </is>
      </c>
    </row>
    <row r="72">
      <c r="A72" s="3" t="n">
        <v>46115</v>
      </c>
      <c r="B72" t="inlineStr">
        <is>
          <t>2026-03-30</t>
        </is>
      </c>
      <c r="C72" t="inlineStr">
        <is>
          <t>2026-04-05</t>
        </is>
      </c>
      <c r="D72" t="inlineStr">
        <is>
          <t>欧洲航线</t>
        </is>
      </c>
      <c r="F72" t="n">
        <v>1576.666666666667</v>
      </c>
      <c r="G72" t="inlineStr">
        <is>
          <t>USD/TEU</t>
        </is>
      </c>
      <c r="H72" t="inlineStr">
        <is>
          <t>demo_interpolation_fill</t>
        </is>
      </c>
      <c r="I72" t="inlineStr">
        <is>
          <t>linear_interpolation_or_boundary_nearest</t>
        </is>
      </c>
      <c r="J72" t="b">
        <v>1</v>
      </c>
      <c r="K72" t="inlineStr">
        <is>
          <t>PENDING</t>
        </is>
      </c>
      <c r="L72" t="inlineStr">
        <is>
          <t>placeholder_pending</t>
        </is>
      </c>
      <c r="M72" t="inlineStr">
        <is>
          <t>placeholder</t>
        </is>
      </c>
    </row>
    <row r="73">
      <c r="A73" s="3" t="n">
        <v>46122</v>
      </c>
      <c r="B73" t="inlineStr">
        <is>
          <t>2026-04-06</t>
        </is>
      </c>
      <c r="C73" t="inlineStr">
        <is>
          <t>2026-04-12</t>
        </is>
      </c>
      <c r="D73" t="inlineStr">
        <is>
          <t>欧洲航线</t>
        </is>
      </c>
      <c r="E73" t="n">
        <v>1547</v>
      </c>
      <c r="F73" t="n">
        <v>1547</v>
      </c>
      <c r="G73" t="inlineStr">
        <is>
          <t>USD/TEU</t>
        </is>
      </c>
      <c r="H73" t="inlineStr">
        <is>
          <t>A/B_public_observed_or_pending_recheck</t>
        </is>
      </c>
      <c r="I73" t="inlineStr">
        <is>
          <t>observed_value_kept</t>
        </is>
      </c>
      <c r="J73" t="b">
        <v>0</v>
      </c>
      <c r="K73" t="inlineStr">
        <is>
          <t>B_pending_source_recheck</t>
        </is>
      </c>
      <c r="L73" t="inlineStr">
        <is>
          <t>legacy_value_pending_source_recheck</t>
        </is>
      </c>
      <c r="M73" t="inlineStr">
        <is>
          <t>legacy_public_clue_needs_source_recheck</t>
        </is>
      </c>
    </row>
    <row r="74">
      <c r="A74" s="3" t="n">
        <v>46129</v>
      </c>
      <c r="B74" t="inlineStr">
        <is>
          <t>2026-04-13</t>
        </is>
      </c>
      <c r="C74" t="inlineStr">
        <is>
          <t>2026-04-19</t>
        </is>
      </c>
      <c r="D74" t="inlineStr">
        <is>
          <t>欧洲航线</t>
        </is>
      </c>
      <c r="E74" t="n">
        <v>1501</v>
      </c>
      <c r="F74" t="n">
        <v>1501</v>
      </c>
      <c r="G74" t="inlineStr">
        <is>
          <t>USD/TEU</t>
        </is>
      </c>
      <c r="H74" t="inlineStr">
        <is>
          <t>A/B_public_observed_or_pending_recheck</t>
        </is>
      </c>
      <c r="I74" t="inlineStr">
        <is>
          <t>observed_value_kept</t>
        </is>
      </c>
      <c r="J74" t="b">
        <v>0</v>
      </c>
      <c r="K74" t="inlineStr">
        <is>
          <t>B_pending_original_text</t>
        </is>
      </c>
      <c r="L74" t="inlineStr">
        <is>
          <t>collected_public_excerpt_pending_original_text</t>
        </is>
      </c>
      <c r="M74" t="inlineStr">
        <is>
          <t>public_excerpt_batch_01</t>
        </is>
      </c>
    </row>
    <row r="75">
      <c r="A75" s="3" t="n">
        <v>46136</v>
      </c>
      <c r="B75" t="inlineStr">
        <is>
          <t>2026-04-20</t>
        </is>
      </c>
      <c r="C75" t="inlineStr">
        <is>
          <t>2026-04-26</t>
        </is>
      </c>
      <c r="D75" t="inlineStr">
        <is>
          <t>欧洲航线</t>
        </is>
      </c>
      <c r="E75" t="n">
        <v>1497</v>
      </c>
      <c r="F75" t="n">
        <v>1497</v>
      </c>
      <c r="G75" t="inlineStr">
        <is>
          <t>USD/TEU</t>
        </is>
      </c>
      <c r="H75" t="inlineStr">
        <is>
          <t>A/B_public_observed_or_pending_recheck</t>
        </is>
      </c>
      <c r="I75" t="inlineStr">
        <is>
          <t>observed_value_kept</t>
        </is>
      </c>
      <c r="J75" t="b">
        <v>0</v>
      </c>
      <c r="K75" t="inlineStr">
        <is>
          <t>B_pending_original_text</t>
        </is>
      </c>
      <c r="L75" t="inlineStr">
        <is>
          <t>collected_public_excerpt_pending_original_text</t>
        </is>
      </c>
      <c r="M75" t="inlineStr">
        <is>
          <t>public_excerpt_batch_01</t>
        </is>
      </c>
    </row>
    <row r="76">
      <c r="A76" s="3" t="n">
        <v>46143</v>
      </c>
      <c r="B76" t="inlineStr">
        <is>
          <t>2026-04-27</t>
        </is>
      </c>
      <c r="C76" t="inlineStr">
        <is>
          <t>2026-05-03</t>
        </is>
      </c>
      <c r="D76" t="inlineStr">
        <is>
          <t>欧洲航线</t>
        </is>
      </c>
      <c r="F76" t="n">
        <v>1546.5</v>
      </c>
      <c r="G76" t="inlineStr">
        <is>
          <t>USD/TEU</t>
        </is>
      </c>
      <c r="H76" t="inlineStr">
        <is>
          <t>demo_interpolation_fill</t>
        </is>
      </c>
      <c r="I76" t="inlineStr">
        <is>
          <t>linear_interpolation_or_boundary_nearest</t>
        </is>
      </c>
      <c r="J76" t="b">
        <v>1</v>
      </c>
      <c r="K76" t="inlineStr">
        <is>
          <t>B_pending_original_text</t>
        </is>
      </c>
      <c r="L76" t="inlineStr">
        <is>
          <t>collected_public_excerpt_pending_original_text</t>
        </is>
      </c>
      <c r="M76" t="inlineStr">
        <is>
          <t>public_excerpt_batch_01</t>
        </is>
      </c>
    </row>
    <row r="77">
      <c r="A77" s="3" t="n">
        <v>46150</v>
      </c>
      <c r="B77" t="inlineStr">
        <is>
          <t>2026-05-04</t>
        </is>
      </c>
      <c r="C77" t="inlineStr">
        <is>
          <t>2026-05-10</t>
        </is>
      </c>
      <c r="D77" t="inlineStr">
        <is>
          <t>欧洲航线</t>
        </is>
      </c>
      <c r="E77" t="n">
        <v>1596</v>
      </c>
      <c r="F77" t="n">
        <v>1596</v>
      </c>
      <c r="G77" t="inlineStr">
        <is>
          <t>USD/TEU</t>
        </is>
      </c>
      <c r="H77" t="inlineStr">
        <is>
          <t>A/B_public_observed_or_pending_recheck</t>
        </is>
      </c>
      <c r="I77" t="inlineStr">
        <is>
          <t>observed_value_kept</t>
        </is>
      </c>
      <c r="J77" t="b">
        <v>0</v>
      </c>
      <c r="K77" t="inlineStr">
        <is>
          <t>B_pending_original_text</t>
        </is>
      </c>
      <c r="L77" t="inlineStr">
        <is>
          <t>collected_public_excerpt_pending_original_text</t>
        </is>
      </c>
      <c r="M77" t="inlineStr">
        <is>
          <t>public_excerpt_batch_01</t>
        </is>
      </c>
    </row>
    <row r="78">
      <c r="A78" s="3" t="n">
        <v>46157</v>
      </c>
      <c r="B78" t="inlineStr">
        <is>
          <t>2026-05-11</t>
        </is>
      </c>
      <c r="C78" t="inlineStr">
        <is>
          <t>2026-05-17</t>
        </is>
      </c>
      <c r="D78" t="inlineStr">
        <is>
          <t>欧洲航线</t>
        </is>
      </c>
      <c r="E78" t="n">
        <v>1816</v>
      </c>
      <c r="F78" t="n">
        <v>1816</v>
      </c>
      <c r="G78" t="inlineStr">
        <is>
          <t>USD/TEU</t>
        </is>
      </c>
      <c r="H78" t="inlineStr">
        <is>
          <t>A/B_public_observed_or_pending_recheck</t>
        </is>
      </c>
      <c r="I78" t="inlineStr">
        <is>
          <t>observed_value_kept</t>
        </is>
      </c>
      <c r="J78" t="b">
        <v>0</v>
      </c>
      <c r="K78" t="inlineStr">
        <is>
          <t>A(composite_only)/B_pending_original_text(route_values)</t>
        </is>
      </c>
      <c r="L78" t="inlineStr">
        <is>
          <t>partial_composite_verified_routes_public_excerpt_pending</t>
        </is>
      </c>
      <c r="M78" t="inlineStr">
        <is>
          <t>official_single_page_table_for_composite_plus_unverified_public_route_clues</t>
        </is>
      </c>
    </row>
    <row r="79">
      <c r="A79" s="3" t="n">
        <v>46164</v>
      </c>
      <c r="B79" t="inlineStr">
        <is>
          <t>2026-05-18</t>
        </is>
      </c>
      <c r="C79" t="inlineStr">
        <is>
          <t>2026-05-24</t>
        </is>
      </c>
      <c r="D79" t="inlineStr">
        <is>
          <t>欧洲航线</t>
        </is>
      </c>
      <c r="E79" t="n">
        <v>1905</v>
      </c>
      <c r="F79" t="n">
        <v>1905</v>
      </c>
      <c r="G79" t="inlineStr">
        <is>
          <t>USD/TEU</t>
        </is>
      </c>
      <c r="H79" t="inlineStr">
        <is>
          <t>A/B_public_observed_or_pending_recheck</t>
        </is>
      </c>
      <c r="I79" t="inlineStr">
        <is>
          <t>observed_value_kept</t>
        </is>
      </c>
      <c r="J79" t="b">
        <v>0</v>
      </c>
      <c r="K79" t="inlineStr">
        <is>
          <t>A/B</t>
        </is>
      </c>
      <c r="L79" t="inlineStr">
        <is>
          <t>partial_or_complete_collected</t>
        </is>
      </c>
      <c r="M79" t="inlineStr">
        <is>
          <t>official_single_page_plus_public_repost</t>
        </is>
      </c>
    </row>
    <row r="80">
      <c r="A80" s="3" t="n">
        <v>45989</v>
      </c>
      <c r="B80" t="inlineStr">
        <is>
          <t>2025-11-24</t>
        </is>
      </c>
      <c r="C80" t="inlineStr">
        <is>
          <t>2025-11-30</t>
        </is>
      </c>
      <c r="D80" t="inlineStr">
        <is>
          <t>美东航线</t>
        </is>
      </c>
      <c r="E80" t="n">
        <v>2428</v>
      </c>
      <c r="F80" t="n">
        <v>2428</v>
      </c>
      <c r="G80" t="inlineStr">
        <is>
          <t>USD/FEU</t>
        </is>
      </c>
      <c r="H80" t="inlineStr">
        <is>
          <t>A/B_public_observed_or_pending_recheck</t>
        </is>
      </c>
      <c r="I80" t="inlineStr">
        <is>
          <t>observed_value_kept</t>
        </is>
      </c>
      <c r="J80" t="b">
        <v>0</v>
      </c>
      <c r="K80" t="inlineStr">
        <is>
          <t>B</t>
        </is>
      </c>
      <c r="L80" t="inlineStr">
        <is>
          <t>collected_public_excerpt</t>
        </is>
      </c>
      <c r="M80" t="inlineStr">
        <is>
          <t>batch03_04_public_excerpt</t>
        </is>
      </c>
    </row>
    <row r="81">
      <c r="A81" s="3" t="n">
        <v>45996</v>
      </c>
      <c r="B81" t="inlineStr">
        <is>
          <t>2025-12-01</t>
        </is>
      </c>
      <c r="C81" t="inlineStr">
        <is>
          <t>2025-12-07</t>
        </is>
      </c>
      <c r="D81" t="inlineStr">
        <is>
          <t>美东航线</t>
        </is>
      </c>
      <c r="E81" t="n">
        <v>2315</v>
      </c>
      <c r="F81" t="n">
        <v>2315</v>
      </c>
      <c r="G81" t="inlineStr">
        <is>
          <t>USD/FEU</t>
        </is>
      </c>
      <c r="H81" t="inlineStr">
        <is>
          <t>A/B_public_observed_or_pending_recheck</t>
        </is>
      </c>
      <c r="I81" t="inlineStr">
        <is>
          <t>observed_value_kept</t>
        </is>
      </c>
      <c r="J81" t="b">
        <v>0</v>
      </c>
      <c r="K81" t="inlineStr">
        <is>
          <t>B</t>
        </is>
      </c>
      <c r="L81" t="inlineStr">
        <is>
          <t>collected_public_excerpt</t>
        </is>
      </c>
      <c r="M81" t="inlineStr">
        <is>
          <t>batch03_04_public_excerpt</t>
        </is>
      </c>
    </row>
    <row r="82">
      <c r="A82" s="3" t="n">
        <v>46003</v>
      </c>
      <c r="B82" t="inlineStr">
        <is>
          <t>2025-12-08</t>
        </is>
      </c>
      <c r="C82" t="inlineStr">
        <is>
          <t>2025-12-14</t>
        </is>
      </c>
      <c r="D82" t="inlineStr">
        <is>
          <t>美东航线</t>
        </is>
      </c>
      <c r="F82" t="n">
        <v>2580.5</v>
      </c>
      <c r="G82" t="inlineStr">
        <is>
          <t>USD/FEU</t>
        </is>
      </c>
      <c r="H82" t="inlineStr">
        <is>
          <t>demo_interpolation_fill</t>
        </is>
      </c>
      <c r="I82" t="inlineStr">
        <is>
          <t>linear_interpolation_or_boundary_nearest</t>
        </is>
      </c>
      <c r="J82" t="b">
        <v>1</v>
      </c>
      <c r="K82" t="inlineStr">
        <is>
          <t>PENDING</t>
        </is>
      </c>
      <c r="L82" t="inlineStr">
        <is>
          <t>placeholder_pending</t>
        </is>
      </c>
      <c r="M82" t="inlineStr">
        <is>
          <t>placeholder</t>
        </is>
      </c>
    </row>
    <row r="83">
      <c r="A83" s="3" t="n">
        <v>46010</v>
      </c>
      <c r="B83" t="inlineStr">
        <is>
          <t>2025-12-15</t>
        </is>
      </c>
      <c r="C83" t="inlineStr">
        <is>
          <t>2025-12-21</t>
        </is>
      </c>
      <c r="D83" t="inlineStr">
        <is>
          <t>美东航线</t>
        </is>
      </c>
      <c r="E83" t="n">
        <v>2846</v>
      </c>
      <c r="F83" t="n">
        <v>2846</v>
      </c>
      <c r="G83" t="inlineStr">
        <is>
          <t>USD/FEU</t>
        </is>
      </c>
      <c r="H83" t="inlineStr">
        <is>
          <t>A/B_public_observed_or_pending_recheck</t>
        </is>
      </c>
      <c r="I83" t="inlineStr">
        <is>
          <t>observed_value_kept</t>
        </is>
      </c>
      <c r="J83" t="b">
        <v>0</v>
      </c>
      <c r="K83" t="inlineStr">
        <is>
          <t>B</t>
        </is>
      </c>
      <c r="L83" t="inlineStr">
        <is>
          <t>collected_public_excerpt</t>
        </is>
      </c>
      <c r="M83" t="inlineStr">
        <is>
          <t>batch03_04_public_excerpt</t>
        </is>
      </c>
    </row>
    <row r="84">
      <c r="A84" s="3" t="n">
        <v>46017</v>
      </c>
      <c r="B84" t="inlineStr">
        <is>
          <t>2025-12-22</t>
        </is>
      </c>
      <c r="C84" t="inlineStr">
        <is>
          <t>2025-12-28</t>
        </is>
      </c>
      <c r="D84" t="inlineStr">
        <is>
          <t>美东航线</t>
        </is>
      </c>
      <c r="E84" t="n">
        <v>3033</v>
      </c>
      <c r="F84" t="n">
        <v>3033</v>
      </c>
      <c r="G84" t="inlineStr">
        <is>
          <t>USD/FEU</t>
        </is>
      </c>
      <c r="H84" t="inlineStr">
        <is>
          <t>A/B_public_observed_or_pending_recheck</t>
        </is>
      </c>
      <c r="I84" t="inlineStr">
        <is>
          <t>observed_value_kept</t>
        </is>
      </c>
      <c r="J84" t="b">
        <v>0</v>
      </c>
      <c r="K84" t="inlineStr">
        <is>
          <t>B</t>
        </is>
      </c>
      <c r="L84" t="inlineStr">
        <is>
          <t>collected_public_excerpt</t>
        </is>
      </c>
      <c r="M84" t="inlineStr">
        <is>
          <t>batch03_04_public_excerpt</t>
        </is>
      </c>
    </row>
    <row r="85">
      <c r="A85" s="3" t="n">
        <v>46024</v>
      </c>
      <c r="B85" t="inlineStr">
        <is>
          <t>2025-12-29</t>
        </is>
      </c>
      <c r="C85" t="inlineStr">
        <is>
          <t>2026-01-04</t>
        </is>
      </c>
      <c r="D85" t="inlineStr">
        <is>
          <t>美东航线</t>
        </is>
      </c>
      <c r="F85" t="n">
        <v>2998.75</v>
      </c>
      <c r="G85" t="inlineStr">
        <is>
          <t>USD/FEU</t>
        </is>
      </c>
      <c r="H85" t="inlineStr">
        <is>
          <t>demo_interpolation_fill</t>
        </is>
      </c>
      <c r="I85" t="inlineStr">
        <is>
          <t>linear_interpolation_or_boundary_nearest</t>
        </is>
      </c>
      <c r="J85" t="b">
        <v>1</v>
      </c>
      <c r="K85" t="inlineStr">
        <is>
          <t>A_publication_suspended</t>
        </is>
      </c>
      <c r="L85" t="inlineStr">
        <is>
          <t>official_publication_suspended</t>
        </is>
      </c>
      <c r="M85" t="inlineStr">
        <is>
          <t>official_publication_calendar</t>
        </is>
      </c>
    </row>
    <row r="86">
      <c r="A86" s="3" t="n">
        <v>46031</v>
      </c>
      <c r="B86" t="inlineStr">
        <is>
          <t>2026-01-05</t>
        </is>
      </c>
      <c r="C86" t="inlineStr">
        <is>
          <t>2026-01-11</t>
        </is>
      </c>
      <c r="D86" t="inlineStr">
        <is>
          <t>美东航线</t>
        </is>
      </c>
      <c r="F86" t="n">
        <v>2964.5</v>
      </c>
      <c r="G86" t="inlineStr">
        <is>
          <t>USD/FEU</t>
        </is>
      </c>
      <c r="H86" t="inlineStr">
        <is>
          <t>demo_interpolation_fill</t>
        </is>
      </c>
      <c r="I86" t="inlineStr">
        <is>
          <t>linear_interpolation_or_boundary_nearest</t>
        </is>
      </c>
      <c r="J86" t="b">
        <v>1</v>
      </c>
      <c r="K86" t="inlineStr">
        <is>
          <t>PENDING</t>
        </is>
      </c>
      <c r="L86" t="inlineStr">
        <is>
          <t>placeholder_pending</t>
        </is>
      </c>
      <c r="M86" t="inlineStr">
        <is>
          <t>placeholder</t>
        </is>
      </c>
    </row>
    <row r="87">
      <c r="A87" s="3" t="n">
        <v>46038</v>
      </c>
      <c r="B87" t="inlineStr">
        <is>
          <t>2026-01-12</t>
        </is>
      </c>
      <c r="C87" t="inlineStr">
        <is>
          <t>2026-01-18</t>
        </is>
      </c>
      <c r="D87" t="inlineStr">
        <is>
          <t>美东航线</t>
        </is>
      </c>
      <c r="F87" t="n">
        <v>2930.25</v>
      </c>
      <c r="G87" t="inlineStr">
        <is>
          <t>USD/FEU</t>
        </is>
      </c>
      <c r="H87" t="inlineStr">
        <is>
          <t>demo_interpolation_fill</t>
        </is>
      </c>
      <c r="I87" t="inlineStr">
        <is>
          <t>linear_interpolation_or_boundary_nearest</t>
        </is>
      </c>
      <c r="J87" t="b">
        <v>1</v>
      </c>
      <c r="K87" t="inlineStr">
        <is>
          <t>PENDING</t>
        </is>
      </c>
      <c r="L87" t="inlineStr">
        <is>
          <t>placeholder_pending</t>
        </is>
      </c>
      <c r="M87" t="inlineStr">
        <is>
          <t>placeholder</t>
        </is>
      </c>
    </row>
    <row r="88">
      <c r="A88" s="3" t="n">
        <v>46045</v>
      </c>
      <c r="B88" t="inlineStr">
        <is>
          <t>2026-01-19</t>
        </is>
      </c>
      <c r="C88" t="inlineStr">
        <is>
          <t>2026-01-25</t>
        </is>
      </c>
      <c r="D88" t="inlineStr">
        <is>
          <t>美东航线</t>
        </is>
      </c>
      <c r="E88" t="n">
        <v>2896</v>
      </c>
      <c r="F88" t="n">
        <v>2896</v>
      </c>
      <c r="G88" t="inlineStr">
        <is>
          <t>USD/FEU</t>
        </is>
      </c>
      <c r="H88" t="inlineStr">
        <is>
          <t>A/B_public_observed_or_pending_recheck</t>
        </is>
      </c>
      <c r="I88" t="inlineStr">
        <is>
          <t>observed_value_kept</t>
        </is>
      </c>
      <c r="J88" t="b">
        <v>0</v>
      </c>
      <c r="K88" t="inlineStr">
        <is>
          <t>B</t>
        </is>
      </c>
      <c r="L88" t="inlineStr">
        <is>
          <t>collected_public_excerpt</t>
        </is>
      </c>
      <c r="M88" t="inlineStr">
        <is>
          <t>batch03_04_public_excerpt</t>
        </is>
      </c>
    </row>
    <row r="89">
      <c r="A89" s="3" t="n">
        <v>46052</v>
      </c>
      <c r="B89" t="inlineStr">
        <is>
          <t>2026-01-26</t>
        </is>
      </c>
      <c r="C89" t="inlineStr">
        <is>
          <t>2026-02-01</t>
        </is>
      </c>
      <c r="D89" t="inlineStr">
        <is>
          <t>美东航线</t>
        </is>
      </c>
      <c r="E89" t="n">
        <v>2605</v>
      </c>
      <c r="F89" t="n">
        <v>2605</v>
      </c>
      <c r="G89" t="inlineStr">
        <is>
          <t>USD/FEU</t>
        </is>
      </c>
      <c r="H89" t="inlineStr">
        <is>
          <t>A/B_public_observed_or_pending_recheck</t>
        </is>
      </c>
      <c r="I89" t="inlineStr">
        <is>
          <t>observed_value_kept</t>
        </is>
      </c>
      <c r="J89" t="b">
        <v>0</v>
      </c>
      <c r="K89" t="inlineStr">
        <is>
          <t>B</t>
        </is>
      </c>
      <c r="L89" t="inlineStr">
        <is>
          <t>collected_public_excerpt</t>
        </is>
      </c>
      <c r="M89" t="inlineStr">
        <is>
          <t>batch03_04_public_excerpt</t>
        </is>
      </c>
    </row>
    <row r="90">
      <c r="A90" s="3" t="n">
        <v>46059</v>
      </c>
      <c r="B90" t="inlineStr">
        <is>
          <t>2026-02-02</t>
        </is>
      </c>
      <c r="C90" t="inlineStr">
        <is>
          <t>2026-02-08</t>
        </is>
      </c>
      <c r="D90" t="inlineStr">
        <is>
          <t>美东航线</t>
        </is>
      </c>
      <c r="E90" t="n">
        <v>2530</v>
      </c>
      <c r="F90" t="n">
        <v>2530</v>
      </c>
      <c r="G90" t="inlineStr">
        <is>
          <t>USD/FEU</t>
        </is>
      </c>
      <c r="H90" t="inlineStr">
        <is>
          <t>A/B_public_observed_or_pending_recheck</t>
        </is>
      </c>
      <c r="I90" t="inlineStr">
        <is>
          <t>observed_value_kept</t>
        </is>
      </c>
      <c r="J90" t="b">
        <v>0</v>
      </c>
      <c r="K90" t="inlineStr">
        <is>
          <t>B</t>
        </is>
      </c>
      <c r="L90" t="inlineStr">
        <is>
          <t>collected_public_excerpt</t>
        </is>
      </c>
      <c r="M90" t="inlineStr">
        <is>
          <t>batch03_04_public_excerpt</t>
        </is>
      </c>
    </row>
    <row r="91">
      <c r="A91" s="3" t="n">
        <v>46066</v>
      </c>
      <c r="B91" t="inlineStr">
        <is>
          <t>2026-02-09</t>
        </is>
      </c>
      <c r="C91" t="inlineStr">
        <is>
          <t>2026-02-15</t>
        </is>
      </c>
      <c r="D91" t="inlineStr">
        <is>
          <t>美东航线</t>
        </is>
      </c>
      <c r="E91" t="n">
        <v>2524</v>
      </c>
      <c r="F91" t="n">
        <v>2524</v>
      </c>
      <c r="G91" t="inlineStr">
        <is>
          <t>USD/FEU</t>
        </is>
      </c>
      <c r="H91" t="inlineStr">
        <is>
          <t>A/B_public_observed_or_pending_recheck</t>
        </is>
      </c>
      <c r="I91" t="inlineStr">
        <is>
          <t>observed_value_kept</t>
        </is>
      </c>
      <c r="J91" t="b">
        <v>0</v>
      </c>
      <c r="K91" t="inlineStr">
        <is>
          <t>B</t>
        </is>
      </c>
      <c r="L91" t="inlineStr">
        <is>
          <t>collected_public_excerpt</t>
        </is>
      </c>
      <c r="M91" t="inlineStr">
        <is>
          <t>batch03_04_public_excerpt</t>
        </is>
      </c>
    </row>
    <row r="92">
      <c r="A92" s="3" t="n">
        <v>46073</v>
      </c>
      <c r="B92" t="inlineStr">
        <is>
          <t>2026-02-16</t>
        </is>
      </c>
      <c r="C92" t="inlineStr">
        <is>
          <t>2026-02-22</t>
        </is>
      </c>
      <c r="D92" t="inlineStr">
        <is>
          <t>美东航线</t>
        </is>
      </c>
      <c r="F92" t="n">
        <v>2670.75</v>
      </c>
      <c r="G92" t="inlineStr">
        <is>
          <t>USD/FEU</t>
        </is>
      </c>
      <c r="H92" t="inlineStr">
        <is>
          <t>demo_interpolation_fill</t>
        </is>
      </c>
      <c r="I92" t="inlineStr">
        <is>
          <t>linear_interpolation_or_boundary_nearest</t>
        </is>
      </c>
      <c r="J92" t="b">
        <v>1</v>
      </c>
      <c r="K92" t="inlineStr">
        <is>
          <t>PENDING</t>
        </is>
      </c>
      <c r="L92" t="inlineStr">
        <is>
          <t>placeholder_pending</t>
        </is>
      </c>
      <c r="M92" t="inlineStr">
        <is>
          <t>placeholder</t>
        </is>
      </c>
    </row>
    <row r="93">
      <c r="A93" s="3" t="n">
        <v>46080</v>
      </c>
      <c r="B93" t="inlineStr">
        <is>
          <t>2026-02-23</t>
        </is>
      </c>
      <c r="C93" t="inlineStr">
        <is>
          <t>2026-03-01</t>
        </is>
      </c>
      <c r="D93" t="inlineStr">
        <is>
          <t>美东航线</t>
        </is>
      </c>
      <c r="F93" t="n">
        <v>2817.5</v>
      </c>
      <c r="G93" t="inlineStr">
        <is>
          <t>USD/FEU</t>
        </is>
      </c>
      <c r="H93" t="inlineStr">
        <is>
          <t>demo_interpolation_fill</t>
        </is>
      </c>
      <c r="I93" t="inlineStr">
        <is>
          <t>linear_interpolation_or_boundary_nearest</t>
        </is>
      </c>
      <c r="J93" t="b">
        <v>1</v>
      </c>
      <c r="K93" t="inlineStr">
        <is>
          <t>PENDING</t>
        </is>
      </c>
      <c r="L93" t="inlineStr">
        <is>
          <t>placeholder_pending</t>
        </is>
      </c>
      <c r="M93" t="inlineStr">
        <is>
          <t>placeholder</t>
        </is>
      </c>
    </row>
    <row r="94">
      <c r="A94" s="3" t="n">
        <v>46087</v>
      </c>
      <c r="B94" t="inlineStr">
        <is>
          <t>2026-03-02</t>
        </is>
      </c>
      <c r="C94" t="inlineStr">
        <is>
          <t>2026-03-08</t>
        </is>
      </c>
      <c r="D94" t="inlineStr">
        <is>
          <t>美东航线</t>
        </is>
      </c>
      <c r="F94" t="n">
        <v>2964.25</v>
      </c>
      <c r="G94" t="inlineStr">
        <is>
          <t>USD/FEU</t>
        </is>
      </c>
      <c r="H94" t="inlineStr">
        <is>
          <t>demo_interpolation_fill</t>
        </is>
      </c>
      <c r="I94" t="inlineStr">
        <is>
          <t>linear_interpolation_or_boundary_nearest</t>
        </is>
      </c>
      <c r="J94" t="b">
        <v>1</v>
      </c>
      <c r="K94" t="inlineStr">
        <is>
          <t>PENDING</t>
        </is>
      </c>
      <c r="L94" t="inlineStr">
        <is>
          <t>placeholder_pending</t>
        </is>
      </c>
      <c r="M94" t="inlineStr">
        <is>
          <t>placeholder</t>
        </is>
      </c>
    </row>
    <row r="95">
      <c r="A95" s="3" t="n">
        <v>46094</v>
      </c>
      <c r="B95" t="inlineStr">
        <is>
          <t>2026-03-09</t>
        </is>
      </c>
      <c r="C95" t="inlineStr">
        <is>
          <t>2026-03-15</t>
        </is>
      </c>
      <c r="D95" t="inlineStr">
        <is>
          <t>美东航线</t>
        </is>
      </c>
      <c r="E95" t="n">
        <v>3111</v>
      </c>
      <c r="F95" t="n">
        <v>3111</v>
      </c>
      <c r="G95" t="inlineStr">
        <is>
          <t>USD/FEU</t>
        </is>
      </c>
      <c r="H95" t="inlineStr">
        <is>
          <t>A/B_public_observed_or_pending_recheck</t>
        </is>
      </c>
      <c r="I95" t="inlineStr">
        <is>
          <t>observed_value_kept</t>
        </is>
      </c>
      <c r="J95" t="b">
        <v>0</v>
      </c>
      <c r="K95" t="inlineStr">
        <is>
          <t>B_pending_source_recheck</t>
        </is>
      </c>
      <c r="L95" t="inlineStr">
        <is>
          <t>legacy_value_pending_source_recheck</t>
        </is>
      </c>
      <c r="M95" t="inlineStr">
        <is>
          <t>legacy_public_clue_needs_source_recheck</t>
        </is>
      </c>
    </row>
    <row r="96">
      <c r="A96" s="3" t="n">
        <v>46101</v>
      </c>
      <c r="B96" t="inlineStr">
        <is>
          <t>2026-03-16</t>
        </is>
      </c>
      <c r="C96" t="inlineStr">
        <is>
          <t>2026-03-22</t>
        </is>
      </c>
      <c r="D96" t="inlineStr">
        <is>
          <t>美东航线</t>
        </is>
      </c>
      <c r="E96" t="n">
        <v>2922</v>
      </c>
      <c r="F96" t="n">
        <v>2922</v>
      </c>
      <c r="G96" t="inlineStr">
        <is>
          <t>USD/FEU</t>
        </is>
      </c>
      <c r="H96" t="inlineStr">
        <is>
          <t>A/B_public_observed_or_pending_recheck</t>
        </is>
      </c>
      <c r="I96" t="inlineStr">
        <is>
          <t>observed_value_kept</t>
        </is>
      </c>
      <c r="J96" t="b">
        <v>0</v>
      </c>
      <c r="K96" t="inlineStr">
        <is>
          <t>B_pending_source_recheck</t>
        </is>
      </c>
      <c r="L96" t="inlineStr">
        <is>
          <t>legacy_value_pending_source_recheck</t>
        </is>
      </c>
      <c r="M96" t="inlineStr">
        <is>
          <t>legacy_public_clue_needs_source_recheck</t>
        </is>
      </c>
    </row>
    <row r="97">
      <c r="A97" s="3" t="n">
        <v>46108</v>
      </c>
      <c r="B97" t="inlineStr">
        <is>
          <t>2026-03-23</t>
        </is>
      </c>
      <c r="C97" t="inlineStr">
        <is>
          <t>2026-03-29</t>
        </is>
      </c>
      <c r="D97" t="inlineStr">
        <is>
          <t>美东航线</t>
        </is>
      </c>
      <c r="F97" t="n">
        <v>3120.666666666667</v>
      </c>
      <c r="G97" t="inlineStr">
        <is>
          <t>USD/FEU</t>
        </is>
      </c>
      <c r="H97" t="inlineStr">
        <is>
          <t>demo_interpolation_fill</t>
        </is>
      </c>
      <c r="I97" t="inlineStr">
        <is>
          <t>linear_interpolation_or_boundary_nearest</t>
        </is>
      </c>
      <c r="J97" t="b">
        <v>1</v>
      </c>
      <c r="K97" t="inlineStr">
        <is>
          <t>PENDING</t>
        </is>
      </c>
      <c r="L97" t="inlineStr">
        <is>
          <t>placeholder_pending</t>
        </is>
      </c>
      <c r="M97" t="inlineStr">
        <is>
          <t>placeholder</t>
        </is>
      </c>
    </row>
    <row r="98">
      <c r="A98" s="3" t="n">
        <v>46115</v>
      </c>
      <c r="B98" t="inlineStr">
        <is>
          <t>2026-03-30</t>
        </is>
      </c>
      <c r="C98" t="inlineStr">
        <is>
          <t>2026-04-05</t>
        </is>
      </c>
      <c r="D98" t="inlineStr">
        <is>
          <t>美东航线</t>
        </is>
      </c>
      <c r="F98" t="n">
        <v>3319.333333333333</v>
      </c>
      <c r="G98" t="inlineStr">
        <is>
          <t>USD/FEU</t>
        </is>
      </c>
      <c r="H98" t="inlineStr">
        <is>
          <t>demo_interpolation_fill</t>
        </is>
      </c>
      <c r="I98" t="inlineStr">
        <is>
          <t>linear_interpolation_or_boundary_nearest</t>
        </is>
      </c>
      <c r="J98" t="b">
        <v>1</v>
      </c>
      <c r="K98" t="inlineStr">
        <is>
          <t>PENDING</t>
        </is>
      </c>
      <c r="L98" t="inlineStr">
        <is>
          <t>placeholder_pending</t>
        </is>
      </c>
      <c r="M98" t="inlineStr">
        <is>
          <t>placeholder</t>
        </is>
      </c>
    </row>
    <row r="99">
      <c r="A99" s="3" t="n">
        <v>46122</v>
      </c>
      <c r="B99" t="inlineStr">
        <is>
          <t>2026-04-06</t>
        </is>
      </c>
      <c r="C99" t="inlineStr">
        <is>
          <t>2026-04-12</t>
        </is>
      </c>
      <c r="D99" t="inlineStr">
        <is>
          <t>美东航线</t>
        </is>
      </c>
      <c r="E99" t="n">
        <v>3518</v>
      </c>
      <c r="F99" t="n">
        <v>3518</v>
      </c>
      <c r="G99" t="inlineStr">
        <is>
          <t>USD/FEU</t>
        </is>
      </c>
      <c r="H99" t="inlineStr">
        <is>
          <t>A/B_public_observed_or_pending_recheck</t>
        </is>
      </c>
      <c r="I99" t="inlineStr">
        <is>
          <t>observed_value_kept</t>
        </is>
      </c>
      <c r="J99" t="b">
        <v>0</v>
      </c>
      <c r="K99" t="inlineStr">
        <is>
          <t>B_pending_source_recheck</t>
        </is>
      </c>
      <c r="L99" t="inlineStr">
        <is>
          <t>legacy_value_pending_source_recheck</t>
        </is>
      </c>
      <c r="M99" t="inlineStr">
        <is>
          <t>legacy_public_clue_needs_source_recheck</t>
        </is>
      </c>
    </row>
    <row r="100">
      <c r="A100" s="3" t="n">
        <v>46129</v>
      </c>
      <c r="B100" t="inlineStr">
        <is>
          <t>2026-04-13</t>
        </is>
      </c>
      <c r="C100" t="inlineStr">
        <is>
          <t>2026-04-19</t>
        </is>
      </c>
      <c r="D100" t="inlineStr">
        <is>
          <t>美东航线</t>
        </is>
      </c>
      <c r="E100" t="n">
        <v>3584</v>
      </c>
      <c r="F100" t="n">
        <v>3584</v>
      </c>
      <c r="G100" t="inlineStr">
        <is>
          <t>USD/FEU</t>
        </is>
      </c>
      <c r="H100" t="inlineStr">
        <is>
          <t>A/B_public_observed_or_pending_recheck</t>
        </is>
      </c>
      <c r="I100" t="inlineStr">
        <is>
          <t>observed_value_kept</t>
        </is>
      </c>
      <c r="J100" t="b">
        <v>0</v>
      </c>
      <c r="K100" t="inlineStr">
        <is>
          <t>B_pending_original_text</t>
        </is>
      </c>
      <c r="L100" t="inlineStr">
        <is>
          <t>collected_public_excerpt_pending_original_text</t>
        </is>
      </c>
      <c r="M100" t="inlineStr">
        <is>
          <t>public_excerpt_batch_01</t>
        </is>
      </c>
    </row>
    <row r="101">
      <c r="A101" s="3" t="n">
        <v>46136</v>
      </c>
      <c r="B101" t="inlineStr">
        <is>
          <t>2026-04-20</t>
        </is>
      </c>
      <c r="C101" t="inlineStr">
        <is>
          <t>2026-04-26</t>
        </is>
      </c>
      <c r="D101" t="inlineStr">
        <is>
          <t>美东航线</t>
        </is>
      </c>
      <c r="E101" t="n">
        <v>3570</v>
      </c>
      <c r="F101" t="n">
        <v>3570</v>
      </c>
      <c r="G101" t="inlineStr">
        <is>
          <t>USD/FEU</t>
        </is>
      </c>
      <c r="H101" t="inlineStr">
        <is>
          <t>A/B_public_observed_or_pending_recheck</t>
        </is>
      </c>
      <c r="I101" t="inlineStr">
        <is>
          <t>observed_value_kept</t>
        </is>
      </c>
      <c r="J101" t="b">
        <v>0</v>
      </c>
      <c r="K101" t="inlineStr">
        <is>
          <t>B_pending_original_text</t>
        </is>
      </c>
      <c r="L101" t="inlineStr">
        <is>
          <t>collected_public_excerpt_pending_original_text</t>
        </is>
      </c>
      <c r="M101" t="inlineStr">
        <is>
          <t>public_excerpt_batch_01</t>
        </is>
      </c>
    </row>
    <row r="102">
      <c r="A102" s="3" t="n">
        <v>46143</v>
      </c>
      <c r="B102" t="inlineStr">
        <is>
          <t>2026-04-27</t>
        </is>
      </c>
      <c r="C102" t="inlineStr">
        <is>
          <t>2026-05-03</t>
        </is>
      </c>
      <c r="D102" t="inlineStr">
        <is>
          <t>美东航线</t>
        </is>
      </c>
      <c r="F102" t="n">
        <v>3691</v>
      </c>
      <c r="G102" t="inlineStr">
        <is>
          <t>USD/FEU</t>
        </is>
      </c>
      <c r="H102" t="inlineStr">
        <is>
          <t>demo_interpolation_fill</t>
        </is>
      </c>
      <c r="I102" t="inlineStr">
        <is>
          <t>linear_interpolation_or_boundary_nearest</t>
        </is>
      </c>
      <c r="J102" t="b">
        <v>1</v>
      </c>
      <c r="K102" t="inlineStr">
        <is>
          <t>B_pending_original_text</t>
        </is>
      </c>
      <c r="L102" t="inlineStr">
        <is>
          <t>collected_public_excerpt_pending_original_text</t>
        </is>
      </c>
      <c r="M102" t="inlineStr">
        <is>
          <t>public_excerpt_batch_01</t>
        </is>
      </c>
    </row>
    <row r="103">
      <c r="A103" s="3" t="n">
        <v>46150</v>
      </c>
      <c r="B103" t="inlineStr">
        <is>
          <t>2026-05-04</t>
        </is>
      </c>
      <c r="C103" t="inlineStr">
        <is>
          <t>2026-05-10</t>
        </is>
      </c>
      <c r="D103" t="inlineStr">
        <is>
          <t>美东航线</t>
        </is>
      </c>
      <c r="E103" t="n">
        <v>3812</v>
      </c>
      <c r="F103" t="n">
        <v>3812</v>
      </c>
      <c r="G103" t="inlineStr">
        <is>
          <t>USD/FEU</t>
        </is>
      </c>
      <c r="H103" t="inlineStr">
        <is>
          <t>A/B_public_observed_or_pending_recheck</t>
        </is>
      </c>
      <c r="I103" t="inlineStr">
        <is>
          <t>observed_value_kept</t>
        </is>
      </c>
      <c r="J103" t="b">
        <v>0</v>
      </c>
      <c r="K103" t="inlineStr">
        <is>
          <t>B_pending_original_text</t>
        </is>
      </c>
      <c r="L103" t="inlineStr">
        <is>
          <t>collected_public_excerpt_pending_original_text</t>
        </is>
      </c>
      <c r="M103" t="inlineStr">
        <is>
          <t>public_excerpt_batch_01</t>
        </is>
      </c>
    </row>
    <row r="104">
      <c r="A104" s="3" t="n">
        <v>46157</v>
      </c>
      <c r="B104" t="inlineStr">
        <is>
          <t>2026-05-11</t>
        </is>
      </c>
      <c r="C104" t="inlineStr">
        <is>
          <t>2026-05-17</t>
        </is>
      </c>
      <c r="D104" t="inlineStr">
        <is>
          <t>美东航线</t>
        </is>
      </c>
      <c r="E104" t="n">
        <v>4224</v>
      </c>
      <c r="F104" t="n">
        <v>4224</v>
      </c>
      <c r="G104" t="inlineStr">
        <is>
          <t>USD/FEU</t>
        </is>
      </c>
      <c r="H104" t="inlineStr">
        <is>
          <t>A/B_public_observed_or_pending_recheck</t>
        </is>
      </c>
      <c r="I104" t="inlineStr">
        <is>
          <t>observed_value_kept</t>
        </is>
      </c>
      <c r="J104" t="b">
        <v>0</v>
      </c>
      <c r="K104" t="inlineStr">
        <is>
          <t>A(composite_only)/B_pending_original_text(route_values)</t>
        </is>
      </c>
      <c r="L104" t="inlineStr">
        <is>
          <t>partial_composite_verified_routes_public_excerpt_pending</t>
        </is>
      </c>
      <c r="M104" t="inlineStr">
        <is>
          <t>official_single_page_table_for_composite_plus_unverified_public_route_clues</t>
        </is>
      </c>
    </row>
    <row r="105">
      <c r="A105" s="3" t="n">
        <v>46164</v>
      </c>
      <c r="B105" t="inlineStr">
        <is>
          <t>2026-05-18</t>
        </is>
      </c>
      <c r="C105" t="inlineStr">
        <is>
          <t>2026-05-24</t>
        </is>
      </c>
      <c r="D105" t="inlineStr">
        <is>
          <t>美东航线</t>
        </is>
      </c>
      <c r="E105" t="n">
        <v>4313</v>
      </c>
      <c r="F105" t="n">
        <v>4313</v>
      </c>
      <c r="G105" t="inlineStr">
        <is>
          <t>USD/FEU</t>
        </is>
      </c>
      <c r="H105" t="inlineStr">
        <is>
          <t>A/B_public_observed_or_pending_recheck</t>
        </is>
      </c>
      <c r="I105" t="inlineStr">
        <is>
          <t>observed_value_kept</t>
        </is>
      </c>
      <c r="J105" t="b">
        <v>0</v>
      </c>
      <c r="K105" t="inlineStr">
        <is>
          <t>A/B</t>
        </is>
      </c>
      <c r="L105" t="inlineStr">
        <is>
          <t>partial_or_complete_collected</t>
        </is>
      </c>
      <c r="M105" t="inlineStr">
        <is>
          <t>official_single_page_plus_public_repost</t>
        </is>
      </c>
    </row>
    <row r="106">
      <c r="A106" s="3" t="n">
        <v>45989</v>
      </c>
      <c r="B106" t="inlineStr">
        <is>
          <t>2025-11-24</t>
        </is>
      </c>
      <c r="C106" t="inlineStr">
        <is>
          <t>2025-11-30</t>
        </is>
      </c>
      <c r="D106" t="inlineStr">
        <is>
          <t>美西航线</t>
        </is>
      </c>
      <c r="E106" t="n">
        <v>1632</v>
      </c>
      <c r="F106" t="n">
        <v>1632</v>
      </c>
      <c r="G106" t="inlineStr">
        <is>
          <t>USD/FEU</t>
        </is>
      </c>
      <c r="H106" t="inlineStr">
        <is>
          <t>A/B_public_observed_or_pending_recheck</t>
        </is>
      </c>
      <c r="I106" t="inlineStr">
        <is>
          <t>observed_value_kept</t>
        </is>
      </c>
      <c r="J106" t="b">
        <v>0</v>
      </c>
      <c r="K106" t="inlineStr">
        <is>
          <t>B</t>
        </is>
      </c>
      <c r="L106" t="inlineStr">
        <is>
          <t>collected_public_excerpt</t>
        </is>
      </c>
      <c r="M106" t="inlineStr">
        <is>
          <t>batch03_04_public_excerpt</t>
        </is>
      </c>
    </row>
    <row r="107">
      <c r="A107" s="3" t="n">
        <v>45996</v>
      </c>
      <c r="B107" t="inlineStr">
        <is>
          <t>2025-12-01</t>
        </is>
      </c>
      <c r="C107" t="inlineStr">
        <is>
          <t>2025-12-07</t>
        </is>
      </c>
      <c r="D107" t="inlineStr">
        <is>
          <t>美西航线</t>
        </is>
      </c>
      <c r="E107" t="n">
        <v>1550</v>
      </c>
      <c r="F107" t="n">
        <v>1550</v>
      </c>
      <c r="G107" t="inlineStr">
        <is>
          <t>USD/FEU</t>
        </is>
      </c>
      <c r="H107" t="inlineStr">
        <is>
          <t>A/B_public_observed_or_pending_recheck</t>
        </is>
      </c>
      <c r="I107" t="inlineStr">
        <is>
          <t>observed_value_kept</t>
        </is>
      </c>
      <c r="J107" t="b">
        <v>0</v>
      </c>
      <c r="K107" t="inlineStr">
        <is>
          <t>B</t>
        </is>
      </c>
      <c r="L107" t="inlineStr">
        <is>
          <t>collected_public_excerpt</t>
        </is>
      </c>
      <c r="M107" t="inlineStr">
        <is>
          <t>batch03_04_public_excerpt</t>
        </is>
      </c>
    </row>
    <row r="108">
      <c r="A108" s="3" t="n">
        <v>46003</v>
      </c>
      <c r="B108" t="inlineStr">
        <is>
          <t>2025-12-08</t>
        </is>
      </c>
      <c r="C108" t="inlineStr">
        <is>
          <t>2025-12-14</t>
        </is>
      </c>
      <c r="D108" t="inlineStr">
        <is>
          <t>美西航线</t>
        </is>
      </c>
      <c r="F108" t="n">
        <v>1771</v>
      </c>
      <c r="G108" t="inlineStr">
        <is>
          <t>USD/FEU</t>
        </is>
      </c>
      <c r="H108" t="inlineStr">
        <is>
          <t>demo_interpolation_fill</t>
        </is>
      </c>
      <c r="I108" t="inlineStr">
        <is>
          <t>linear_interpolation_or_boundary_nearest</t>
        </is>
      </c>
      <c r="J108" t="b">
        <v>1</v>
      </c>
      <c r="K108" t="inlineStr">
        <is>
          <t>PENDING</t>
        </is>
      </c>
      <c r="L108" t="inlineStr">
        <is>
          <t>placeholder_pending</t>
        </is>
      </c>
      <c r="M108" t="inlineStr">
        <is>
          <t>placeholder</t>
        </is>
      </c>
    </row>
    <row r="109">
      <c r="A109" s="3" t="n">
        <v>46010</v>
      </c>
      <c r="B109" t="inlineStr">
        <is>
          <t>2025-12-15</t>
        </is>
      </c>
      <c r="C109" t="inlineStr">
        <is>
          <t>2025-12-21</t>
        </is>
      </c>
      <c r="D109" t="inlineStr">
        <is>
          <t>美西航线</t>
        </is>
      </c>
      <c r="E109" t="n">
        <v>1992</v>
      </c>
      <c r="F109" t="n">
        <v>1992</v>
      </c>
      <c r="G109" t="inlineStr">
        <is>
          <t>USD/FEU</t>
        </is>
      </c>
      <c r="H109" t="inlineStr">
        <is>
          <t>A/B_public_observed_or_pending_recheck</t>
        </is>
      </c>
      <c r="I109" t="inlineStr">
        <is>
          <t>observed_value_kept</t>
        </is>
      </c>
      <c r="J109" t="b">
        <v>0</v>
      </c>
      <c r="K109" t="inlineStr">
        <is>
          <t>B</t>
        </is>
      </c>
      <c r="L109" t="inlineStr">
        <is>
          <t>collected_public_excerpt</t>
        </is>
      </c>
      <c r="M109" t="inlineStr">
        <is>
          <t>batch03_04_public_excerpt</t>
        </is>
      </c>
    </row>
    <row r="110">
      <c r="A110" s="3" t="n">
        <v>46017</v>
      </c>
      <c r="B110" t="inlineStr">
        <is>
          <t>2025-12-22</t>
        </is>
      </c>
      <c r="C110" t="inlineStr">
        <is>
          <t>2025-12-28</t>
        </is>
      </c>
      <c r="D110" t="inlineStr">
        <is>
          <t>美西航线</t>
        </is>
      </c>
      <c r="E110" t="n">
        <v>2188</v>
      </c>
      <c r="F110" t="n">
        <v>2188</v>
      </c>
      <c r="G110" t="inlineStr">
        <is>
          <t>USD/FEU</t>
        </is>
      </c>
      <c r="H110" t="inlineStr">
        <is>
          <t>A/B_public_observed_or_pending_recheck</t>
        </is>
      </c>
      <c r="I110" t="inlineStr">
        <is>
          <t>observed_value_kept</t>
        </is>
      </c>
      <c r="J110" t="b">
        <v>0</v>
      </c>
      <c r="K110" t="inlineStr">
        <is>
          <t>B</t>
        </is>
      </c>
      <c r="L110" t="inlineStr">
        <is>
          <t>collected_public_excerpt</t>
        </is>
      </c>
      <c r="M110" t="inlineStr">
        <is>
          <t>batch03_04_public_excerpt</t>
        </is>
      </c>
    </row>
    <row r="111">
      <c r="A111" s="3" t="n">
        <v>46024</v>
      </c>
      <c r="B111" t="inlineStr">
        <is>
          <t>2025-12-29</t>
        </is>
      </c>
      <c r="C111" t="inlineStr">
        <is>
          <t>2026-01-04</t>
        </is>
      </c>
      <c r="D111" t="inlineStr">
        <is>
          <t>美西航线</t>
        </is>
      </c>
      <c r="F111" t="n">
        <v>2162</v>
      </c>
      <c r="G111" t="inlineStr">
        <is>
          <t>USD/FEU</t>
        </is>
      </c>
      <c r="H111" t="inlineStr">
        <is>
          <t>demo_interpolation_fill</t>
        </is>
      </c>
      <c r="I111" t="inlineStr">
        <is>
          <t>linear_interpolation_or_boundary_nearest</t>
        </is>
      </c>
      <c r="J111" t="b">
        <v>1</v>
      </c>
      <c r="K111" t="inlineStr">
        <is>
          <t>A_publication_suspended</t>
        </is>
      </c>
      <c r="L111" t="inlineStr">
        <is>
          <t>official_publication_suspended</t>
        </is>
      </c>
      <c r="M111" t="inlineStr">
        <is>
          <t>official_publication_calendar</t>
        </is>
      </c>
    </row>
    <row r="112">
      <c r="A112" s="3" t="n">
        <v>46031</v>
      </c>
      <c r="B112" t="inlineStr">
        <is>
          <t>2026-01-05</t>
        </is>
      </c>
      <c r="C112" t="inlineStr">
        <is>
          <t>2026-01-11</t>
        </is>
      </c>
      <c r="D112" t="inlineStr">
        <is>
          <t>美西航线</t>
        </is>
      </c>
      <c r="F112" t="n">
        <v>2136</v>
      </c>
      <c r="G112" t="inlineStr">
        <is>
          <t>USD/FEU</t>
        </is>
      </c>
      <c r="H112" t="inlineStr">
        <is>
          <t>demo_interpolation_fill</t>
        </is>
      </c>
      <c r="I112" t="inlineStr">
        <is>
          <t>linear_interpolation_or_boundary_nearest</t>
        </is>
      </c>
      <c r="J112" t="b">
        <v>1</v>
      </c>
      <c r="K112" t="inlineStr">
        <is>
          <t>PENDING</t>
        </is>
      </c>
      <c r="L112" t="inlineStr">
        <is>
          <t>placeholder_pending</t>
        </is>
      </c>
      <c r="M112" t="inlineStr">
        <is>
          <t>placeholder</t>
        </is>
      </c>
    </row>
    <row r="113">
      <c r="A113" s="3" t="n">
        <v>46038</v>
      </c>
      <c r="B113" t="inlineStr">
        <is>
          <t>2026-01-12</t>
        </is>
      </c>
      <c r="C113" t="inlineStr">
        <is>
          <t>2026-01-18</t>
        </is>
      </c>
      <c r="D113" t="inlineStr">
        <is>
          <t>美西航线</t>
        </is>
      </c>
      <c r="F113" t="n">
        <v>2110</v>
      </c>
      <c r="G113" t="inlineStr">
        <is>
          <t>USD/FEU</t>
        </is>
      </c>
      <c r="H113" t="inlineStr">
        <is>
          <t>demo_interpolation_fill</t>
        </is>
      </c>
      <c r="I113" t="inlineStr">
        <is>
          <t>linear_interpolation_or_boundary_nearest</t>
        </is>
      </c>
      <c r="J113" t="b">
        <v>1</v>
      </c>
      <c r="K113" t="inlineStr">
        <is>
          <t>PENDING</t>
        </is>
      </c>
      <c r="L113" t="inlineStr">
        <is>
          <t>placeholder_pending</t>
        </is>
      </c>
      <c r="M113" t="inlineStr">
        <is>
          <t>placeholder</t>
        </is>
      </c>
    </row>
    <row r="114">
      <c r="A114" s="3" t="n">
        <v>46045</v>
      </c>
      <c r="B114" t="inlineStr">
        <is>
          <t>2026-01-19</t>
        </is>
      </c>
      <c r="C114" t="inlineStr">
        <is>
          <t>2026-01-25</t>
        </is>
      </c>
      <c r="D114" t="inlineStr">
        <is>
          <t>美西航线</t>
        </is>
      </c>
      <c r="E114" t="n">
        <v>2084</v>
      </c>
      <c r="F114" t="n">
        <v>2084</v>
      </c>
      <c r="G114" t="inlineStr">
        <is>
          <t>USD/FEU</t>
        </is>
      </c>
      <c r="H114" t="inlineStr">
        <is>
          <t>A/B_public_observed_or_pending_recheck</t>
        </is>
      </c>
      <c r="I114" t="inlineStr">
        <is>
          <t>observed_value_kept</t>
        </is>
      </c>
      <c r="J114" t="b">
        <v>0</v>
      </c>
      <c r="K114" t="inlineStr">
        <is>
          <t>B</t>
        </is>
      </c>
      <c r="L114" t="inlineStr">
        <is>
          <t>collected_public_excerpt</t>
        </is>
      </c>
      <c r="M114" t="inlineStr">
        <is>
          <t>batch03_04_public_excerpt</t>
        </is>
      </c>
    </row>
    <row r="115">
      <c r="A115" s="3" t="n">
        <v>46052</v>
      </c>
      <c r="B115" t="inlineStr">
        <is>
          <t>2026-01-26</t>
        </is>
      </c>
      <c r="C115" t="inlineStr">
        <is>
          <t>2026-02-01</t>
        </is>
      </c>
      <c r="D115" t="inlineStr">
        <is>
          <t>美西航线</t>
        </is>
      </c>
      <c r="E115" t="n">
        <v>1867</v>
      </c>
      <c r="F115" t="n">
        <v>1867</v>
      </c>
      <c r="G115" t="inlineStr">
        <is>
          <t>USD/FEU</t>
        </is>
      </c>
      <c r="H115" t="inlineStr">
        <is>
          <t>A/B_public_observed_or_pending_recheck</t>
        </is>
      </c>
      <c r="I115" t="inlineStr">
        <is>
          <t>observed_value_kept</t>
        </is>
      </c>
      <c r="J115" t="b">
        <v>0</v>
      </c>
      <c r="K115" t="inlineStr">
        <is>
          <t>B</t>
        </is>
      </c>
      <c r="L115" t="inlineStr">
        <is>
          <t>collected_public_excerpt</t>
        </is>
      </c>
      <c r="M115" t="inlineStr">
        <is>
          <t>batch03_04_public_excerpt</t>
        </is>
      </c>
    </row>
    <row r="116">
      <c r="A116" s="3" t="n">
        <v>46059</v>
      </c>
      <c r="B116" t="inlineStr">
        <is>
          <t>2026-02-02</t>
        </is>
      </c>
      <c r="C116" t="inlineStr">
        <is>
          <t>2026-02-08</t>
        </is>
      </c>
      <c r="D116" t="inlineStr">
        <is>
          <t>美西航线</t>
        </is>
      </c>
      <c r="E116" t="n">
        <v>1801</v>
      </c>
      <c r="F116" t="n">
        <v>1801</v>
      </c>
      <c r="G116" t="inlineStr">
        <is>
          <t>USD/FEU</t>
        </is>
      </c>
      <c r="H116" t="inlineStr">
        <is>
          <t>A/B_public_observed_or_pending_recheck</t>
        </is>
      </c>
      <c r="I116" t="inlineStr">
        <is>
          <t>observed_value_kept</t>
        </is>
      </c>
      <c r="J116" t="b">
        <v>0</v>
      </c>
      <c r="K116" t="inlineStr">
        <is>
          <t>B</t>
        </is>
      </c>
      <c r="L116" t="inlineStr">
        <is>
          <t>collected_public_excerpt</t>
        </is>
      </c>
      <c r="M116" t="inlineStr">
        <is>
          <t>batch03_04_public_excerpt</t>
        </is>
      </c>
    </row>
    <row r="117">
      <c r="A117" s="3" t="n">
        <v>46066</v>
      </c>
      <c r="B117" t="inlineStr">
        <is>
          <t>2026-02-09</t>
        </is>
      </c>
      <c r="C117" t="inlineStr">
        <is>
          <t>2026-02-15</t>
        </is>
      </c>
      <c r="D117" t="inlineStr">
        <is>
          <t>美西航线</t>
        </is>
      </c>
      <c r="E117" t="n">
        <v>1787</v>
      </c>
      <c r="F117" t="n">
        <v>1787</v>
      </c>
      <c r="G117" t="inlineStr">
        <is>
          <t>USD/FEU</t>
        </is>
      </c>
      <c r="H117" t="inlineStr">
        <is>
          <t>A/B_public_observed_or_pending_recheck</t>
        </is>
      </c>
      <c r="I117" t="inlineStr">
        <is>
          <t>observed_value_kept</t>
        </is>
      </c>
      <c r="J117" t="b">
        <v>0</v>
      </c>
      <c r="K117" t="inlineStr">
        <is>
          <t>B</t>
        </is>
      </c>
      <c r="L117" t="inlineStr">
        <is>
          <t>collected_public_excerpt</t>
        </is>
      </c>
      <c r="M117" t="inlineStr">
        <is>
          <t>batch03_04_public_excerpt</t>
        </is>
      </c>
    </row>
    <row r="118">
      <c r="A118" s="3" t="n">
        <v>46073</v>
      </c>
      <c r="B118" t="inlineStr">
        <is>
          <t>2026-02-16</t>
        </is>
      </c>
      <c r="C118" t="inlineStr">
        <is>
          <t>2026-02-22</t>
        </is>
      </c>
      <c r="D118" t="inlineStr">
        <is>
          <t>美西航线</t>
        </is>
      </c>
      <c r="F118" t="n">
        <v>1902.5</v>
      </c>
      <c r="G118" t="inlineStr">
        <is>
          <t>USD/FEU</t>
        </is>
      </c>
      <c r="H118" t="inlineStr">
        <is>
          <t>demo_interpolation_fill</t>
        </is>
      </c>
      <c r="I118" t="inlineStr">
        <is>
          <t>linear_interpolation_or_boundary_nearest</t>
        </is>
      </c>
      <c r="J118" t="b">
        <v>1</v>
      </c>
      <c r="K118" t="inlineStr">
        <is>
          <t>PENDING</t>
        </is>
      </c>
      <c r="L118" t="inlineStr">
        <is>
          <t>placeholder_pending</t>
        </is>
      </c>
      <c r="M118" t="inlineStr">
        <is>
          <t>placeholder</t>
        </is>
      </c>
    </row>
    <row r="119">
      <c r="A119" s="3" t="n">
        <v>46080</v>
      </c>
      <c r="B119" t="inlineStr">
        <is>
          <t>2026-02-23</t>
        </is>
      </c>
      <c r="C119" t="inlineStr">
        <is>
          <t>2026-03-01</t>
        </is>
      </c>
      <c r="D119" t="inlineStr">
        <is>
          <t>美西航线</t>
        </is>
      </c>
      <c r="F119" t="n">
        <v>2018</v>
      </c>
      <c r="G119" t="inlineStr">
        <is>
          <t>USD/FEU</t>
        </is>
      </c>
      <c r="H119" t="inlineStr">
        <is>
          <t>demo_interpolation_fill</t>
        </is>
      </c>
      <c r="I119" t="inlineStr">
        <is>
          <t>linear_interpolation_or_boundary_nearest</t>
        </is>
      </c>
      <c r="J119" t="b">
        <v>1</v>
      </c>
      <c r="K119" t="inlineStr">
        <is>
          <t>PENDING</t>
        </is>
      </c>
      <c r="L119" t="inlineStr">
        <is>
          <t>placeholder_pending</t>
        </is>
      </c>
      <c r="M119" t="inlineStr">
        <is>
          <t>placeholder</t>
        </is>
      </c>
    </row>
    <row r="120">
      <c r="A120" s="3" t="n">
        <v>46087</v>
      </c>
      <c r="B120" t="inlineStr">
        <is>
          <t>2026-03-02</t>
        </is>
      </c>
      <c r="C120" t="inlineStr">
        <is>
          <t>2026-03-08</t>
        </is>
      </c>
      <c r="D120" t="inlineStr">
        <is>
          <t>美西航线</t>
        </is>
      </c>
      <c r="F120" t="n">
        <v>2133.5</v>
      </c>
      <c r="G120" t="inlineStr">
        <is>
          <t>USD/FEU</t>
        </is>
      </c>
      <c r="H120" t="inlineStr">
        <is>
          <t>demo_interpolation_fill</t>
        </is>
      </c>
      <c r="I120" t="inlineStr">
        <is>
          <t>linear_interpolation_or_boundary_nearest</t>
        </is>
      </c>
      <c r="J120" t="b">
        <v>1</v>
      </c>
      <c r="K120" t="inlineStr">
        <is>
          <t>PENDING</t>
        </is>
      </c>
      <c r="L120" t="inlineStr">
        <is>
          <t>placeholder_pending</t>
        </is>
      </c>
      <c r="M120" t="inlineStr">
        <is>
          <t>placeholder</t>
        </is>
      </c>
    </row>
    <row r="121">
      <c r="A121" s="3" t="n">
        <v>46094</v>
      </c>
      <c r="B121" t="inlineStr">
        <is>
          <t>2026-03-09</t>
        </is>
      </c>
      <c r="C121" t="inlineStr">
        <is>
          <t>2026-03-15</t>
        </is>
      </c>
      <c r="D121" t="inlineStr">
        <is>
          <t>美西航线</t>
        </is>
      </c>
      <c r="E121" t="n">
        <v>2249</v>
      </c>
      <c r="F121" t="n">
        <v>2249</v>
      </c>
      <c r="G121" t="inlineStr">
        <is>
          <t>USD/FEU</t>
        </is>
      </c>
      <c r="H121" t="inlineStr">
        <is>
          <t>A/B_public_observed_or_pending_recheck</t>
        </is>
      </c>
      <c r="I121" t="inlineStr">
        <is>
          <t>observed_value_kept</t>
        </is>
      </c>
      <c r="J121" t="b">
        <v>0</v>
      </c>
      <c r="K121" t="inlineStr">
        <is>
          <t>B_pending_source_recheck</t>
        </is>
      </c>
      <c r="L121" t="inlineStr">
        <is>
          <t>legacy_value_pending_source_recheck</t>
        </is>
      </c>
      <c r="M121" t="inlineStr">
        <is>
          <t>legacy_public_clue_needs_source_recheck</t>
        </is>
      </c>
    </row>
    <row r="122">
      <c r="A122" s="3" t="n">
        <v>46101</v>
      </c>
      <c r="B122" t="inlineStr">
        <is>
          <t>2026-03-16</t>
        </is>
      </c>
      <c r="C122" t="inlineStr">
        <is>
          <t>2026-03-22</t>
        </is>
      </c>
      <c r="D122" t="inlineStr">
        <is>
          <t>美西航线</t>
        </is>
      </c>
      <c r="E122" t="n">
        <v>2054</v>
      </c>
      <c r="F122" t="n">
        <v>2054</v>
      </c>
      <c r="G122" t="inlineStr">
        <is>
          <t>USD/FEU</t>
        </is>
      </c>
      <c r="H122" t="inlineStr">
        <is>
          <t>A/B_public_observed_or_pending_recheck</t>
        </is>
      </c>
      <c r="I122" t="inlineStr">
        <is>
          <t>observed_value_kept</t>
        </is>
      </c>
      <c r="J122" t="b">
        <v>0</v>
      </c>
      <c r="K122" t="inlineStr">
        <is>
          <t>B_pending_source_recheck</t>
        </is>
      </c>
      <c r="L122" t="inlineStr">
        <is>
          <t>legacy_value_pending_source_recheck</t>
        </is>
      </c>
      <c r="M122" t="inlineStr">
        <is>
          <t>legacy_public_clue_needs_source_recheck</t>
        </is>
      </c>
    </row>
    <row r="123">
      <c r="A123" s="3" t="n">
        <v>46108</v>
      </c>
      <c r="B123" t="inlineStr">
        <is>
          <t>2026-03-23</t>
        </is>
      </c>
      <c r="C123" t="inlineStr">
        <is>
          <t>2026-03-29</t>
        </is>
      </c>
      <c r="D123" t="inlineStr">
        <is>
          <t>美西航线</t>
        </is>
      </c>
      <c r="F123" t="n">
        <v>2220</v>
      </c>
      <c r="G123" t="inlineStr">
        <is>
          <t>USD/FEU</t>
        </is>
      </c>
      <c r="H123" t="inlineStr">
        <is>
          <t>demo_interpolation_fill</t>
        </is>
      </c>
      <c r="I123" t="inlineStr">
        <is>
          <t>linear_interpolation_or_boundary_nearest</t>
        </is>
      </c>
      <c r="J123" t="b">
        <v>1</v>
      </c>
      <c r="K123" t="inlineStr">
        <is>
          <t>PENDING</t>
        </is>
      </c>
      <c r="L123" t="inlineStr">
        <is>
          <t>placeholder_pending</t>
        </is>
      </c>
      <c r="M123" t="inlineStr">
        <is>
          <t>placeholder</t>
        </is>
      </c>
    </row>
    <row r="124">
      <c r="A124" s="3" t="n">
        <v>46115</v>
      </c>
      <c r="B124" t="inlineStr">
        <is>
          <t>2026-03-30</t>
        </is>
      </c>
      <c r="C124" t="inlineStr">
        <is>
          <t>2026-04-05</t>
        </is>
      </c>
      <c r="D124" t="inlineStr">
        <is>
          <t>美西航线</t>
        </is>
      </c>
      <c r="F124" t="n">
        <v>2386</v>
      </c>
      <c r="G124" t="inlineStr">
        <is>
          <t>USD/FEU</t>
        </is>
      </c>
      <c r="H124" t="inlineStr">
        <is>
          <t>demo_interpolation_fill</t>
        </is>
      </c>
      <c r="I124" t="inlineStr">
        <is>
          <t>linear_interpolation_or_boundary_nearest</t>
        </is>
      </c>
      <c r="J124" t="b">
        <v>1</v>
      </c>
      <c r="K124" t="inlineStr">
        <is>
          <t>PENDING</t>
        </is>
      </c>
      <c r="L124" t="inlineStr">
        <is>
          <t>placeholder_pending</t>
        </is>
      </c>
      <c r="M124" t="inlineStr">
        <is>
          <t>placeholder</t>
        </is>
      </c>
    </row>
    <row r="125">
      <c r="A125" s="3" t="n">
        <v>46122</v>
      </c>
      <c r="B125" t="inlineStr">
        <is>
          <t>2026-04-06</t>
        </is>
      </c>
      <c r="C125" t="inlineStr">
        <is>
          <t>2026-04-12</t>
        </is>
      </c>
      <c r="D125" t="inlineStr">
        <is>
          <t>美西航线</t>
        </is>
      </c>
      <c r="E125" t="n">
        <v>2552</v>
      </c>
      <c r="F125" t="n">
        <v>2552</v>
      </c>
      <c r="G125" t="inlineStr">
        <is>
          <t>USD/FEU</t>
        </is>
      </c>
      <c r="H125" t="inlineStr">
        <is>
          <t>A/B_public_observed_or_pending_recheck</t>
        </is>
      </c>
      <c r="I125" t="inlineStr">
        <is>
          <t>observed_value_kept</t>
        </is>
      </c>
      <c r="J125" t="b">
        <v>0</v>
      </c>
      <c r="K125" t="inlineStr">
        <is>
          <t>B_pending_source_recheck</t>
        </is>
      </c>
      <c r="L125" t="inlineStr">
        <is>
          <t>legacy_value_pending_source_recheck</t>
        </is>
      </c>
      <c r="M125" t="inlineStr">
        <is>
          <t>legacy_public_clue_needs_source_recheck</t>
        </is>
      </c>
    </row>
    <row r="126">
      <c r="A126" s="3" t="n">
        <v>46129</v>
      </c>
      <c r="B126" t="inlineStr">
        <is>
          <t>2026-04-13</t>
        </is>
      </c>
      <c r="C126" t="inlineStr">
        <is>
          <t>2026-04-19</t>
        </is>
      </c>
      <c r="D126" t="inlineStr">
        <is>
          <t>美西航线</t>
        </is>
      </c>
      <c r="E126" t="n">
        <v>2612</v>
      </c>
      <c r="F126" t="n">
        <v>2612</v>
      </c>
      <c r="G126" t="inlineStr">
        <is>
          <t>USD/FEU</t>
        </is>
      </c>
      <c r="H126" t="inlineStr">
        <is>
          <t>A/B_public_observed_or_pending_recheck</t>
        </is>
      </c>
      <c r="I126" t="inlineStr">
        <is>
          <t>observed_value_kept</t>
        </is>
      </c>
      <c r="J126" t="b">
        <v>0</v>
      </c>
      <c r="K126" t="inlineStr">
        <is>
          <t>B_pending_original_text</t>
        </is>
      </c>
      <c r="L126" t="inlineStr">
        <is>
          <t>collected_public_excerpt_pending_original_text</t>
        </is>
      </c>
      <c r="M126" t="inlineStr">
        <is>
          <t>public_excerpt_batch_01</t>
        </is>
      </c>
    </row>
    <row r="127">
      <c r="A127" s="3" t="n">
        <v>46136</v>
      </c>
      <c r="B127" t="inlineStr">
        <is>
          <t>2026-04-20</t>
        </is>
      </c>
      <c r="C127" t="inlineStr">
        <is>
          <t>2026-04-26</t>
        </is>
      </c>
      <c r="D127" t="inlineStr">
        <is>
          <t>美西航线</t>
        </is>
      </c>
      <c r="E127" t="n">
        <v>2586</v>
      </c>
      <c r="F127" t="n">
        <v>2586</v>
      </c>
      <c r="G127" t="inlineStr">
        <is>
          <t>USD/FEU</t>
        </is>
      </c>
      <c r="H127" t="inlineStr">
        <is>
          <t>A/B_public_observed_or_pending_recheck</t>
        </is>
      </c>
      <c r="I127" t="inlineStr">
        <is>
          <t>observed_value_kept</t>
        </is>
      </c>
      <c r="J127" t="b">
        <v>0</v>
      </c>
      <c r="K127" t="inlineStr">
        <is>
          <t>B_pending_original_text</t>
        </is>
      </c>
      <c r="L127" t="inlineStr">
        <is>
          <t>collected_public_excerpt_pending_original_text</t>
        </is>
      </c>
      <c r="M127" t="inlineStr">
        <is>
          <t>public_excerpt_batch_01</t>
        </is>
      </c>
    </row>
    <row r="128">
      <c r="A128" s="3" t="n">
        <v>46143</v>
      </c>
      <c r="B128" t="inlineStr">
        <is>
          <t>2026-04-27</t>
        </is>
      </c>
      <c r="C128" t="inlineStr">
        <is>
          <t>2026-05-03</t>
        </is>
      </c>
      <c r="D128" t="inlineStr">
        <is>
          <t>美西航线</t>
        </is>
      </c>
      <c r="F128" t="n">
        <v>2706</v>
      </c>
      <c r="G128" t="inlineStr">
        <is>
          <t>USD/FEU</t>
        </is>
      </c>
      <c r="H128" t="inlineStr">
        <is>
          <t>demo_interpolation_fill</t>
        </is>
      </c>
      <c r="I128" t="inlineStr">
        <is>
          <t>linear_interpolation_or_boundary_nearest</t>
        </is>
      </c>
      <c r="J128" t="b">
        <v>1</v>
      </c>
      <c r="K128" t="inlineStr">
        <is>
          <t>B_pending_original_text</t>
        </is>
      </c>
      <c r="L128" t="inlineStr">
        <is>
          <t>collected_public_excerpt_pending_original_text</t>
        </is>
      </c>
      <c r="M128" t="inlineStr">
        <is>
          <t>public_excerpt_batch_01</t>
        </is>
      </c>
    </row>
    <row r="129">
      <c r="A129" s="3" t="n">
        <v>46150</v>
      </c>
      <c r="B129" t="inlineStr">
        <is>
          <t>2026-05-04</t>
        </is>
      </c>
      <c r="C129" t="inlineStr">
        <is>
          <t>2026-05-10</t>
        </is>
      </c>
      <c r="D129" t="inlineStr">
        <is>
          <t>美西航线</t>
        </is>
      </c>
      <c r="E129" t="n">
        <v>2826</v>
      </c>
      <c r="F129" t="n">
        <v>2826</v>
      </c>
      <c r="G129" t="inlineStr">
        <is>
          <t>USD/FEU</t>
        </is>
      </c>
      <c r="H129" t="inlineStr">
        <is>
          <t>A/B_public_observed_or_pending_recheck</t>
        </is>
      </c>
      <c r="I129" t="inlineStr">
        <is>
          <t>observed_value_kept</t>
        </is>
      </c>
      <c r="J129" t="b">
        <v>0</v>
      </c>
      <c r="K129" t="inlineStr">
        <is>
          <t>B_pending_original_text</t>
        </is>
      </c>
      <c r="L129" t="inlineStr">
        <is>
          <t>collected_public_excerpt_pending_original_text</t>
        </is>
      </c>
      <c r="M129" t="inlineStr">
        <is>
          <t>public_excerpt_batch_01</t>
        </is>
      </c>
    </row>
    <row r="130">
      <c r="A130" s="3" t="n">
        <v>46157</v>
      </c>
      <c r="B130" t="inlineStr">
        <is>
          <t>2026-05-11</t>
        </is>
      </c>
      <c r="C130" t="inlineStr">
        <is>
          <t>2026-05-17</t>
        </is>
      </c>
      <c r="D130" t="inlineStr">
        <is>
          <t>美西航线</t>
        </is>
      </c>
      <c r="E130" t="n">
        <v>3118</v>
      </c>
      <c r="F130" t="n">
        <v>3118</v>
      </c>
      <c r="G130" t="inlineStr">
        <is>
          <t>USD/FEU</t>
        </is>
      </c>
      <c r="H130" t="inlineStr">
        <is>
          <t>A/B_public_observed_or_pending_recheck</t>
        </is>
      </c>
      <c r="I130" t="inlineStr">
        <is>
          <t>observed_value_kept</t>
        </is>
      </c>
      <c r="J130" t="b">
        <v>0</v>
      </c>
      <c r="K130" t="inlineStr">
        <is>
          <t>A(composite_only)/B_pending_original_text(route_values)</t>
        </is>
      </c>
      <c r="L130" t="inlineStr">
        <is>
          <t>partial_composite_verified_routes_public_excerpt_pending</t>
        </is>
      </c>
      <c r="M130" t="inlineStr">
        <is>
          <t>official_single_page_table_for_composite_plus_unverified_public_route_clues</t>
        </is>
      </c>
    </row>
    <row r="131">
      <c r="A131" s="3" t="n">
        <v>46164</v>
      </c>
      <c r="B131" t="inlineStr">
        <is>
          <t>2026-05-18</t>
        </is>
      </c>
      <c r="C131" t="inlineStr">
        <is>
          <t>2026-05-24</t>
        </is>
      </c>
      <c r="D131" t="inlineStr">
        <is>
          <t>美西航线</t>
        </is>
      </c>
      <c r="E131" t="n">
        <v>3154</v>
      </c>
      <c r="F131" t="n">
        <v>3154</v>
      </c>
      <c r="G131" t="inlineStr">
        <is>
          <t>USD/FEU</t>
        </is>
      </c>
      <c r="H131" t="inlineStr">
        <is>
          <t>A/B_public_observed_or_pending_recheck</t>
        </is>
      </c>
      <c r="I131" t="inlineStr">
        <is>
          <t>observed_value_kept</t>
        </is>
      </c>
      <c r="J131" t="b">
        <v>0</v>
      </c>
      <c r="K131" t="inlineStr">
        <is>
          <t>A/B</t>
        </is>
      </c>
      <c r="L131" t="inlineStr">
        <is>
          <t>partial_or_complete_collected</t>
        </is>
      </c>
      <c r="M131" t="inlineStr">
        <is>
          <t>official_single_page_plus_public_repost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2" customWidth="1" min="5" max="5"/>
  </cols>
  <sheetData>
    <row r="1">
      <c r="A1" s="2" t="inlineStr">
        <is>
          <t>指标</t>
        </is>
      </c>
      <c r="B1" s="2" t="inlineStr">
        <is>
          <t>航线</t>
        </is>
      </c>
      <c r="C1" s="2" t="inlineStr">
        <is>
          <t>公式说明</t>
        </is>
      </c>
      <c r="D1" s="2" t="inlineStr">
        <is>
          <t>Excel公式样例</t>
        </is>
      </c>
      <c r="E1" s="2" t="inlineStr">
        <is>
          <t>状态</t>
        </is>
      </c>
    </row>
    <row r="2">
      <c r="A2" t="inlineStr">
        <is>
          <t>P95分位</t>
        </is>
      </c>
      <c r="B2" t="inlineStr">
        <is>
          <t>SCFI综合指数</t>
        </is>
      </c>
      <c r="C2" t="inlineStr">
        <is>
          <t>最近26周该航线数值的95分位</t>
        </is>
      </c>
      <c r="D2">
        <f>PERCENTILE.INC('原始周度宽表'!B$2:B$27,0.95)</f>
        <v/>
      </c>
      <c r="E2" t="inlineStr">
        <is>
          <t>可运行公式</t>
        </is>
      </c>
    </row>
    <row r="3">
      <c r="A3" t="inlineStr">
        <is>
          <t>周环比</t>
        </is>
      </c>
      <c r="B3" t="inlineStr">
        <is>
          <t>SCFI综合指数</t>
        </is>
      </c>
      <c r="C3" t="inlineStr">
        <is>
          <t>本周相对上周变化百分比</t>
        </is>
      </c>
      <c r="D3">
        <f>('原始周度宽表'!B$27/'原始周度宽表'!B$26-1)*100</f>
        <v/>
      </c>
      <c r="E3" t="inlineStr">
        <is>
          <t>可运行公式</t>
        </is>
      </c>
    </row>
    <row r="4">
      <c r="A4" t="inlineStr">
        <is>
          <t>Z分数</t>
        </is>
      </c>
      <c r="B4" t="inlineStr">
        <is>
          <t>SCFI综合指数</t>
        </is>
      </c>
      <c r="C4" t="inlineStr">
        <is>
          <t>本周值相对最近26周均值和样本标准差的标准化偏离</t>
        </is>
      </c>
      <c r="D4">
        <f>('原始周度宽表'!B$27-AVERAGE('原始周度宽表'!B$2:B$27))/STDEV.S('原始周度宽表'!B$2:B$27)</f>
        <v/>
      </c>
      <c r="E4" t="inlineStr">
        <is>
          <t>可运行公式</t>
        </is>
      </c>
    </row>
    <row r="5">
      <c r="A5" t="inlineStr">
        <is>
          <t>连续上涨周数</t>
        </is>
      </c>
      <c r="B5" t="inlineStr">
        <is>
          <t>SCFI综合指数</t>
        </is>
      </c>
      <c r="C5" t="inlineStr">
        <is>
          <t>从最新周向前逐周检查，遇到非上涨即重置；样例最多回看5周</t>
        </is>
      </c>
      <c r="D5">
        <f>IF('原始周度宽表'!B$27&lt;='原始周度宽表'!B$26,0,IF('原始周度宽表'!B$26&lt;='原始周度宽表'!B$25,1,IF('原始周度宽表'!B$25&lt;='原始周度宽表'!B$24,2,IF('原始周度宽表'!B$24&lt;='原始周度宽表'!B$23,3,IF('原始周度宽表'!B$23&lt;='原始周度宽表'!B$22,4,5)))))</f>
        <v/>
      </c>
      <c r="E5" t="inlineStr">
        <is>
          <t>可运行公式</t>
        </is>
      </c>
    </row>
    <row r="6">
      <c r="A6" t="inlineStr">
        <is>
          <t>P95分位</t>
        </is>
      </c>
      <c r="B6" t="inlineStr">
        <is>
          <t>欧洲航线</t>
        </is>
      </c>
      <c r="C6" t="inlineStr">
        <is>
          <t>最近26周该航线数值的95分位</t>
        </is>
      </c>
      <c r="D6">
        <f>PERCENTILE.INC('原始周度宽表'!D$2:D$27,0.95)</f>
        <v/>
      </c>
      <c r="E6" t="inlineStr">
        <is>
          <t>可运行公式</t>
        </is>
      </c>
    </row>
    <row r="7">
      <c r="A7" t="inlineStr">
        <is>
          <t>周环比</t>
        </is>
      </c>
      <c r="B7" t="inlineStr">
        <is>
          <t>欧洲航线</t>
        </is>
      </c>
      <c r="C7" t="inlineStr">
        <is>
          <t>本周相对上周变化百分比</t>
        </is>
      </c>
      <c r="D7">
        <f>('原始周度宽表'!D$27/'原始周度宽表'!D$26-1)*100</f>
        <v/>
      </c>
      <c r="E7" t="inlineStr">
        <is>
          <t>可运行公式</t>
        </is>
      </c>
    </row>
    <row r="8">
      <c r="A8" t="inlineStr">
        <is>
          <t>Z分数</t>
        </is>
      </c>
      <c r="B8" t="inlineStr">
        <is>
          <t>欧洲航线</t>
        </is>
      </c>
      <c r="C8" t="inlineStr">
        <is>
          <t>本周值相对最近26周均值和样本标准差的标准化偏离</t>
        </is>
      </c>
      <c r="D8">
        <f>('原始周度宽表'!D$27-AVERAGE('原始周度宽表'!D$2:D$27))/STDEV.S('原始周度宽表'!D$2:D$27)</f>
        <v/>
      </c>
      <c r="E8" t="inlineStr">
        <is>
          <t>可运行公式</t>
        </is>
      </c>
    </row>
    <row r="9">
      <c r="A9" t="inlineStr">
        <is>
          <t>连续上涨周数</t>
        </is>
      </c>
      <c r="B9" t="inlineStr">
        <is>
          <t>欧洲航线</t>
        </is>
      </c>
      <c r="C9" t="inlineStr">
        <is>
          <t>从最新周向前逐周检查，遇到非上涨即重置；样例最多回看5周</t>
        </is>
      </c>
      <c r="D9">
        <f>IF('原始周度宽表'!D$27&lt;='原始周度宽表'!D$26,0,IF('原始周度宽表'!D$26&lt;='原始周度宽表'!D$25,1,IF('原始周度宽表'!D$25&lt;='原始周度宽表'!D$24,2,IF('原始周度宽表'!D$24&lt;='原始周度宽表'!D$23,3,IF('原始周度宽表'!D$23&lt;='原始周度宽表'!D$22,4,5)))))</f>
        <v/>
      </c>
      <c r="E9" t="inlineStr">
        <is>
          <t>可运行公式</t>
        </is>
      </c>
    </row>
    <row r="10">
      <c r="A10" t="inlineStr">
        <is>
          <t>P95分位</t>
        </is>
      </c>
      <c r="B10" t="inlineStr">
        <is>
          <t>地中海航线</t>
        </is>
      </c>
      <c r="C10" t="inlineStr">
        <is>
          <t>最近26周该航线数值的95分位</t>
        </is>
      </c>
      <c r="D10">
        <f>PERCENTILE.INC('原始周度宽表'!C$2:C$27,0.95)</f>
        <v/>
      </c>
      <c r="E10" t="inlineStr">
        <is>
          <t>可运行公式</t>
        </is>
      </c>
    </row>
    <row r="11">
      <c r="A11" t="inlineStr">
        <is>
          <t>周环比</t>
        </is>
      </c>
      <c r="B11" t="inlineStr">
        <is>
          <t>地中海航线</t>
        </is>
      </c>
      <c r="C11" t="inlineStr">
        <is>
          <t>本周相对上周变化百分比</t>
        </is>
      </c>
      <c r="D11">
        <f>('原始周度宽表'!C$27/'原始周度宽表'!C$26-1)*100</f>
        <v/>
      </c>
      <c r="E11" t="inlineStr">
        <is>
          <t>可运行公式</t>
        </is>
      </c>
    </row>
    <row r="12">
      <c r="A12" t="inlineStr">
        <is>
          <t>Z分数</t>
        </is>
      </c>
      <c r="B12" t="inlineStr">
        <is>
          <t>地中海航线</t>
        </is>
      </c>
      <c r="C12" t="inlineStr">
        <is>
          <t>本周值相对最近26周均值和样本标准差的标准化偏离</t>
        </is>
      </c>
      <c r="D12">
        <f>('原始周度宽表'!C$27-AVERAGE('原始周度宽表'!C$2:C$27))/STDEV.S('原始周度宽表'!C$2:C$27)</f>
        <v/>
      </c>
      <c r="E12" t="inlineStr">
        <is>
          <t>可运行公式</t>
        </is>
      </c>
    </row>
    <row r="13">
      <c r="A13" t="inlineStr">
        <is>
          <t>连续上涨周数</t>
        </is>
      </c>
      <c r="B13" t="inlineStr">
        <is>
          <t>地中海航线</t>
        </is>
      </c>
      <c r="C13" t="inlineStr">
        <is>
          <t>从最新周向前逐周检查，遇到非上涨即重置；样例最多回看5周</t>
        </is>
      </c>
      <c r="D13">
        <f>IF('原始周度宽表'!C$27&lt;='原始周度宽表'!C$26,0,IF('原始周度宽表'!C$26&lt;='原始周度宽表'!C$25,1,IF('原始周度宽表'!C$25&lt;='原始周度宽表'!C$24,2,IF('原始周度宽表'!C$24&lt;='原始周度宽表'!C$23,3,IF('原始周度宽表'!C$23&lt;='原始周度宽表'!C$22,4,5)))))</f>
        <v/>
      </c>
      <c r="E13" t="inlineStr">
        <is>
          <t>可运行公式</t>
        </is>
      </c>
    </row>
    <row r="14">
      <c r="A14" t="inlineStr">
        <is>
          <t>P95分位</t>
        </is>
      </c>
      <c r="B14" t="inlineStr">
        <is>
          <t>美西航线</t>
        </is>
      </c>
      <c r="C14" t="inlineStr">
        <is>
          <t>最近26周该航线数值的95分位</t>
        </is>
      </c>
      <c r="D14">
        <f>PERCENTILE.INC('原始周度宽表'!F$2:F$27,0.95)</f>
        <v/>
      </c>
      <c r="E14" t="inlineStr">
        <is>
          <t>可运行公式</t>
        </is>
      </c>
    </row>
    <row r="15">
      <c r="A15" t="inlineStr">
        <is>
          <t>周环比</t>
        </is>
      </c>
      <c r="B15" t="inlineStr">
        <is>
          <t>美西航线</t>
        </is>
      </c>
      <c r="C15" t="inlineStr">
        <is>
          <t>本周相对上周变化百分比</t>
        </is>
      </c>
      <c r="D15">
        <f>('原始周度宽表'!F$27/'原始周度宽表'!F$26-1)*100</f>
        <v/>
      </c>
      <c r="E15" t="inlineStr">
        <is>
          <t>可运行公式</t>
        </is>
      </c>
    </row>
    <row r="16">
      <c r="A16" t="inlineStr">
        <is>
          <t>Z分数</t>
        </is>
      </c>
      <c r="B16" t="inlineStr">
        <is>
          <t>美西航线</t>
        </is>
      </c>
      <c r="C16" t="inlineStr">
        <is>
          <t>本周值相对最近26周均值和样本标准差的标准化偏离</t>
        </is>
      </c>
      <c r="D16">
        <f>('原始周度宽表'!F$27-AVERAGE('原始周度宽表'!F$2:F$27))/STDEV.S('原始周度宽表'!F$2:F$27)</f>
        <v/>
      </c>
      <c r="E16" t="inlineStr">
        <is>
          <t>可运行公式</t>
        </is>
      </c>
    </row>
    <row r="17">
      <c r="A17" t="inlineStr">
        <is>
          <t>连续上涨周数</t>
        </is>
      </c>
      <c r="B17" t="inlineStr">
        <is>
          <t>美西航线</t>
        </is>
      </c>
      <c r="C17" t="inlineStr">
        <is>
          <t>从最新周向前逐周检查，遇到非上涨即重置；样例最多回看5周</t>
        </is>
      </c>
      <c r="D17">
        <f>IF('原始周度宽表'!F$27&lt;='原始周度宽表'!F$26,0,IF('原始周度宽表'!F$26&lt;='原始周度宽表'!F$25,1,IF('原始周度宽表'!F$25&lt;='原始周度宽表'!F$24,2,IF('原始周度宽表'!F$24&lt;='原始周度宽表'!F$23,3,IF('原始周度宽表'!F$23&lt;='原始周度宽表'!F$22,4,5)))))</f>
        <v/>
      </c>
      <c r="E17" t="inlineStr">
        <is>
          <t>可运行公式</t>
        </is>
      </c>
    </row>
    <row r="18">
      <c r="A18" t="inlineStr">
        <is>
          <t>P95分位</t>
        </is>
      </c>
      <c r="B18" t="inlineStr">
        <is>
          <t>美东航线</t>
        </is>
      </c>
      <c r="C18" t="inlineStr">
        <is>
          <t>最近26周该航线数值的95分位</t>
        </is>
      </c>
      <c r="D18">
        <f>PERCENTILE.INC('原始周度宽表'!E$2:E$27,0.95)</f>
        <v/>
      </c>
      <c r="E18" t="inlineStr">
        <is>
          <t>可运行公式</t>
        </is>
      </c>
    </row>
    <row r="19">
      <c r="A19" t="inlineStr">
        <is>
          <t>周环比</t>
        </is>
      </c>
      <c r="B19" t="inlineStr">
        <is>
          <t>美东航线</t>
        </is>
      </c>
      <c r="C19" t="inlineStr">
        <is>
          <t>本周相对上周变化百分比</t>
        </is>
      </c>
      <c r="D19">
        <f>('原始周度宽表'!E$27/'原始周度宽表'!E$26-1)*100</f>
        <v/>
      </c>
      <c r="E19" t="inlineStr">
        <is>
          <t>可运行公式</t>
        </is>
      </c>
    </row>
    <row r="20">
      <c r="A20" t="inlineStr">
        <is>
          <t>Z分数</t>
        </is>
      </c>
      <c r="B20" t="inlineStr">
        <is>
          <t>美东航线</t>
        </is>
      </c>
      <c r="C20" t="inlineStr">
        <is>
          <t>本周值相对最近26周均值和样本标准差的标准化偏离</t>
        </is>
      </c>
      <c r="D20">
        <f>('原始周度宽表'!E$27-AVERAGE('原始周度宽表'!E$2:E$27))/STDEV.S('原始周度宽表'!E$2:E$27)</f>
        <v/>
      </c>
      <c r="E20" t="inlineStr">
        <is>
          <t>可运行公式</t>
        </is>
      </c>
    </row>
    <row r="21">
      <c r="A21" t="inlineStr">
        <is>
          <t>连续上涨周数</t>
        </is>
      </c>
      <c r="B21" t="inlineStr">
        <is>
          <t>美东航线</t>
        </is>
      </c>
      <c r="C21" t="inlineStr">
        <is>
          <t>从最新周向前逐周检查，遇到非上涨即重置；样例最多回看5周</t>
        </is>
      </c>
      <c r="D21">
        <f>IF('原始周度宽表'!E$27&lt;='原始周度宽表'!E$26,0,IF('原始周度宽表'!E$26&lt;='原始周度宽表'!E$25,1,IF('原始周度宽表'!E$25&lt;='原始周度宽表'!E$24,2,IF('原始周度宽表'!E$24&lt;='原始周度宽表'!E$23,3,IF('原始周度宽表'!E$23&lt;='原始周度宽表'!E$22,4,5)))))</f>
        <v/>
      </c>
      <c r="E21" t="inlineStr">
        <is>
          <t>可运行公式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2" customWidth="1" min="3" max="3"/>
    <col width="28" customWidth="1" min="4" max="4"/>
  </cols>
  <sheetData>
    <row r="1">
      <c r="A1" s="2" t="inlineStr">
        <is>
          <t>指标</t>
        </is>
      </c>
      <c r="B1" s="2" t="inlineStr">
        <is>
          <t>计算逻辑</t>
        </is>
      </c>
      <c r="C1" s="2" t="inlineStr">
        <is>
          <t>Excel公式原则</t>
        </is>
      </c>
      <c r="D1" s="2" t="inlineStr">
        <is>
          <t>备注</t>
        </is>
      </c>
    </row>
    <row r="2">
      <c r="A2" t="inlineStr">
        <is>
          <t>P25/P50/P75/P85/P90/P95/P99</t>
        </is>
      </c>
      <c r="B2" t="inlineStr">
        <is>
          <t>对同一航线最近26周value计算分位数</t>
        </is>
      </c>
      <c r="C2" t="inlineStr">
        <is>
          <t>PERCENTILE.INC(最近26周范围, 分位参数)</t>
        </is>
      </c>
      <c r="D2" t="inlineStr">
        <is>
          <t>用于判断历史相对位置</t>
        </is>
      </c>
    </row>
    <row r="3">
      <c r="A3" t="inlineStr">
        <is>
          <t>周环比</t>
        </is>
      </c>
      <c r="B3" t="inlineStr">
        <is>
          <t>本周value/上周value-1</t>
        </is>
      </c>
      <c r="C3">
        <f>(本周单元格/上周单元格-1)*100</f>
        <v/>
      </c>
      <c r="D3" t="inlineStr">
        <is>
          <t>首周为空</t>
        </is>
      </c>
    </row>
    <row r="4">
      <c r="A4" t="inlineStr">
        <is>
          <t>Z分数</t>
        </is>
      </c>
      <c r="B4" t="inlineStr">
        <is>
          <t>(本周value-最近26周均值)/最近26周样本标准差</t>
        </is>
      </c>
      <c r="C4">
        <f>(本周值-AVERAGE(范围))/STDEV.S(范围)</f>
        <v/>
      </c>
      <c r="D4" t="inlineStr">
        <is>
          <t>用于识别异常偏离</t>
        </is>
      </c>
    </row>
    <row r="5">
      <c r="A5" t="inlineStr">
        <is>
          <t>连续上涨周数</t>
        </is>
      </c>
      <c r="B5" t="inlineStr">
        <is>
          <t>从最新周向前检查，遇到非上涨即重置</t>
        </is>
      </c>
      <c r="C5" t="inlineStr">
        <is>
          <t>嵌套IF或辅助列递推</t>
        </is>
      </c>
      <c r="D5" t="inlineStr">
        <is>
          <t>本审计样例采用嵌套IF，最多展示5周</t>
        </is>
      </c>
    </row>
    <row r="6">
      <c r="A6" t="inlineStr">
        <is>
          <t>预警标签</t>
        </is>
      </c>
      <c r="B6" t="inlineStr">
        <is>
          <t>分位、周环比、Z分数、连续上涨组合打标</t>
        </is>
      </c>
      <c r="C6" t="inlineStr">
        <is>
          <t>TEXTJOIN + IF组合</t>
        </is>
      </c>
      <c r="D6" t="inlineStr">
        <is>
          <t>P85/P95、涨幅、Z≥2/3、连续上涨≥3/5周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1" customWidth="1" min="3" max="3"/>
    <col width="38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航线</t>
        </is>
      </c>
      <c r="B1" s="2" t="inlineStr">
        <is>
          <t>最新值</t>
        </is>
      </c>
      <c r="C1" s="2" t="inlineStr">
        <is>
          <t>P95公式</t>
        </is>
      </c>
      <c r="D1" s="2" t="inlineStr">
        <is>
          <t>周环比公式</t>
        </is>
      </c>
      <c r="E1" s="2" t="inlineStr">
        <is>
          <t>Z分数公式</t>
        </is>
      </c>
      <c r="F1" s="2" t="inlineStr">
        <is>
          <t>连续上涨公式</t>
        </is>
      </c>
      <c r="G1" s="2" t="inlineStr">
        <is>
          <t>预警标签公式</t>
        </is>
      </c>
    </row>
    <row r="2">
      <c r="A2" t="inlineStr">
        <is>
          <t>SCFI综合指数</t>
        </is>
      </c>
      <c r="B2">
        <f>'原始周度宽表'!B$27</f>
        <v/>
      </c>
      <c r="C2">
        <f>PERCENTILE.INC('原始周度宽表'!B$2:B$27,0.95)</f>
        <v/>
      </c>
      <c r="D2">
        <f>('原始周度宽表'!B$27/'原始周度宽表'!B$26-1)*100</f>
        <v/>
      </c>
      <c r="E2">
        <f>('原始周度宽表'!B$27-AVERAGE('原始周度宽表'!B$2:B$27))/STDEV.S('原始周度宽表'!B$2:B$27)</f>
        <v/>
      </c>
      <c r="F2">
        <f>IF('原始周度宽表'!B$27&lt;='原始周度宽表'!B$26,0,IF('原始周度宽表'!B$26&lt;='原始周度宽表'!B$25,1,IF('原始周度宽表'!B$25&lt;='原始周度宽表'!B$24,2,IF('原始周度宽表'!B$24&lt;='原始周度宽表'!B$23,3,IF('原始周度宽表'!B$23&lt;='原始周度宽表'!B$22,4,5)))))</f>
        <v/>
      </c>
      <c r="G2">
        <f>TEXTJOIN(";",TRUE,IF(B2&gt;=C2,"P95高位",""),IF(E2&gt;=2,"Z≥2异常",""),IF(F2&gt;=3,"连续上涨≥3周",""),IF(D2&lt;=-5,"周环比下跌≥5%",""))</f>
        <v/>
      </c>
    </row>
    <row r="3">
      <c r="A3" t="inlineStr">
        <is>
          <t>欧洲航线</t>
        </is>
      </c>
      <c r="B3">
        <f>'原始周度宽表'!D$27</f>
        <v/>
      </c>
      <c r="C3">
        <f>PERCENTILE.INC('原始周度宽表'!D$2:D$27,0.95)</f>
        <v/>
      </c>
      <c r="D3">
        <f>('原始周度宽表'!D$27/'原始周度宽表'!D$26-1)*100</f>
        <v/>
      </c>
      <c r="E3">
        <f>('原始周度宽表'!D$27-AVERAGE('原始周度宽表'!D$2:D$27))/STDEV.S('原始周度宽表'!D$2:D$27)</f>
        <v/>
      </c>
      <c r="F3">
        <f>IF('原始周度宽表'!D$27&lt;='原始周度宽表'!D$26,0,IF('原始周度宽表'!D$26&lt;='原始周度宽表'!D$25,1,IF('原始周度宽表'!D$25&lt;='原始周度宽表'!D$24,2,IF('原始周度宽表'!D$24&lt;='原始周度宽表'!D$23,3,IF('原始周度宽表'!D$23&lt;='原始周度宽表'!D$22,4,5)))))</f>
        <v/>
      </c>
      <c r="G3">
        <f>TEXTJOIN(";",TRUE,IF(B3&gt;=C3,"P95高位",""),IF(E3&gt;=2,"Z≥2异常",""),IF(F3&gt;=3,"连续上涨≥3周",""),IF(D3&lt;=-5,"周环比下跌≥5%",""))</f>
        <v/>
      </c>
    </row>
    <row r="4">
      <c r="A4" t="inlineStr">
        <is>
          <t>地中海航线</t>
        </is>
      </c>
      <c r="B4">
        <f>'原始周度宽表'!C$27</f>
        <v/>
      </c>
      <c r="C4">
        <f>PERCENTILE.INC('原始周度宽表'!C$2:C$27,0.95)</f>
        <v/>
      </c>
      <c r="D4">
        <f>('原始周度宽表'!C$27/'原始周度宽表'!C$26-1)*100</f>
        <v/>
      </c>
      <c r="E4">
        <f>('原始周度宽表'!C$27-AVERAGE('原始周度宽表'!C$2:C$27))/STDEV.S('原始周度宽表'!C$2:C$27)</f>
        <v/>
      </c>
      <c r="F4">
        <f>IF('原始周度宽表'!C$27&lt;='原始周度宽表'!C$26,0,IF('原始周度宽表'!C$26&lt;='原始周度宽表'!C$25,1,IF('原始周度宽表'!C$25&lt;='原始周度宽表'!C$24,2,IF('原始周度宽表'!C$24&lt;='原始周度宽表'!C$23,3,IF('原始周度宽表'!C$23&lt;='原始周度宽表'!C$22,4,5)))))</f>
        <v/>
      </c>
      <c r="G4">
        <f>TEXTJOIN(";",TRUE,IF(B4&gt;=C4,"P95高位",""),IF(E4&gt;=2,"Z≥2异常",""),IF(F4&gt;=3,"连续上涨≥3周",""),IF(D4&lt;=-5,"周环比下跌≥5%",""))</f>
        <v/>
      </c>
    </row>
    <row r="5">
      <c r="A5" t="inlineStr">
        <is>
          <t>美西航线</t>
        </is>
      </c>
      <c r="B5">
        <f>'原始周度宽表'!F$27</f>
        <v/>
      </c>
      <c r="C5">
        <f>PERCENTILE.INC('原始周度宽表'!F$2:F$27,0.95)</f>
        <v/>
      </c>
      <c r="D5">
        <f>('原始周度宽表'!F$27/'原始周度宽表'!F$26-1)*100</f>
        <v/>
      </c>
      <c r="E5">
        <f>('原始周度宽表'!F$27-AVERAGE('原始周度宽表'!F$2:F$27))/STDEV.S('原始周度宽表'!F$2:F$27)</f>
        <v/>
      </c>
      <c r="F5">
        <f>IF('原始周度宽表'!F$27&lt;='原始周度宽表'!F$26,0,IF('原始周度宽表'!F$26&lt;='原始周度宽表'!F$25,1,IF('原始周度宽表'!F$25&lt;='原始周度宽表'!F$24,2,IF('原始周度宽表'!F$24&lt;='原始周度宽表'!F$23,3,IF('原始周度宽表'!F$23&lt;='原始周度宽表'!F$22,4,5)))))</f>
        <v/>
      </c>
      <c r="G5">
        <f>TEXTJOIN(";",TRUE,IF(B5&gt;=C5,"P95高位",""),IF(E5&gt;=2,"Z≥2异常",""),IF(F5&gt;=3,"连续上涨≥3周",""),IF(D5&lt;=-5,"周环比下跌≥5%",""))</f>
        <v/>
      </c>
    </row>
    <row r="6">
      <c r="A6" t="inlineStr">
        <is>
          <t>美东航线</t>
        </is>
      </c>
      <c r="B6">
        <f>'原始周度宽表'!E$27</f>
        <v/>
      </c>
      <c r="C6">
        <f>PERCENTILE.INC('原始周度宽表'!E$2:E$27,0.95)</f>
        <v/>
      </c>
      <c r="D6">
        <f>('原始周度宽表'!E$27/'原始周度宽表'!E$26-1)*100</f>
        <v/>
      </c>
      <c r="E6">
        <f>('原始周度宽表'!E$27-AVERAGE('原始周度宽表'!E$2:E$27))/STDEV.S('原始周度宽表'!E$2:E$27)</f>
        <v/>
      </c>
      <c r="F6">
        <f>IF('原始周度宽表'!E$27&lt;='原始周度宽表'!E$26,0,IF('原始周度宽表'!E$26&lt;='原始周度宽表'!E$25,1,IF('原始周度宽表'!E$25&lt;='原始周度宽表'!E$24,2,IF('原始周度宽表'!E$24&lt;='原始周度宽表'!E$23,3,IF('原始周度宽表'!E$23&lt;='原始周度宽表'!E$22,4,5)))))</f>
        <v/>
      </c>
      <c r="G6">
        <f>TEXTJOIN(";",TRUE,IF(B6&gt;=C6,"P95高位",""),IF(E6&gt;=2,"Z≥2异常",""),IF(F6&gt;=3,"连续上涨≥3周",""),IF(D6&lt;=-5,"周环比下跌≥5%",""))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2026-05-28T17:29:45Z</dcterms:created>
  <dcterms:modified xmlns:dcterms="http://purl.org/dc/terms/" xmlns:xsi="http://www.w3.org/2001/XMLSchema-instance" xsi:type="dcterms:W3CDTF">2026-05-29T02:04:54Z</dcterms:modified>
</cp:coreProperties>
</file>